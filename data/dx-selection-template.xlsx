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124226"/>
  <xr:revisionPtr revIDLastSave="0" documentId="13_ncr:1_{B60064EA-EB08-466B-8EFD-16F34ABA4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ion Sheet" sheetId="2" r:id="rId1"/>
    <sheet name="Data" sheetId="1" r:id="rId2"/>
    <sheet name="DX-Data" sheetId="19" r:id="rId3"/>
  </sheets>
  <definedNames>
    <definedName name="_xlnm.Print_Area" localSheetId="1">Data!$A$2:$Y$43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2" l="1"/>
  <c r="AL20" i="2"/>
  <c r="AI21" i="2"/>
  <c r="AL21" i="2"/>
  <c r="AI22" i="2"/>
  <c r="AL22" i="2"/>
  <c r="AI23" i="2"/>
  <c r="AL23" i="2"/>
  <c r="AI24" i="2"/>
  <c r="AL24" i="2"/>
  <c r="AI26" i="2"/>
  <c r="AL26" i="2"/>
  <c r="AI28" i="2"/>
  <c r="AL28" i="2"/>
  <c r="AI29" i="2"/>
  <c r="AL29" i="2"/>
  <c r="AI30" i="2"/>
  <c r="AL30" i="2"/>
  <c r="AI31" i="2"/>
  <c r="AL31" i="2"/>
  <c r="AI32" i="2"/>
  <c r="AL32" i="2"/>
  <c r="AI33" i="2"/>
  <c r="AL33" i="2"/>
  <c r="AI34" i="2"/>
  <c r="AL34" i="2"/>
  <c r="AI35" i="2"/>
  <c r="AL35" i="2"/>
  <c r="AI36" i="2"/>
  <c r="AL36" i="2"/>
  <c r="AI37" i="2"/>
  <c r="AL37" i="2"/>
  <c r="AI38" i="2"/>
  <c r="AL38" i="2"/>
  <c r="AI39" i="2"/>
  <c r="AL39" i="2"/>
  <c r="AI40" i="2"/>
  <c r="AL40" i="2"/>
  <c r="AI41" i="2"/>
  <c r="AL41" i="2"/>
  <c r="AI42" i="2"/>
  <c r="AL42" i="2"/>
  <c r="AI43" i="2"/>
  <c r="AL43" i="2"/>
  <c r="AI44" i="2"/>
  <c r="AL44" i="2"/>
  <c r="AI45" i="2"/>
  <c r="AL45" i="2"/>
  <c r="AI46" i="2"/>
  <c r="AL46" i="2"/>
  <c r="AI48" i="2"/>
  <c r="AL48" i="2"/>
  <c r="AI49" i="2"/>
  <c r="AL49" i="2"/>
  <c r="AI50" i="2"/>
  <c r="AL50" i="2"/>
  <c r="AI51" i="2"/>
  <c r="AL51" i="2"/>
  <c r="AI52" i="2"/>
  <c r="AL52" i="2"/>
  <c r="AI53" i="2"/>
  <c r="AL53" i="2"/>
  <c r="AI54" i="2"/>
  <c r="AL54" i="2"/>
  <c r="AI55" i="2"/>
  <c r="AL55" i="2"/>
  <c r="AI56" i="2"/>
  <c r="AL56" i="2"/>
  <c r="AI57" i="2"/>
  <c r="AL57" i="2"/>
  <c r="AI58" i="2"/>
  <c r="AL58" i="2"/>
  <c r="AI59" i="2"/>
  <c r="AL59" i="2"/>
  <c r="AI60" i="2"/>
  <c r="AL60" i="2"/>
  <c r="AI61" i="2"/>
  <c r="AL61" i="2"/>
  <c r="AI62" i="2"/>
  <c r="AL62" i="2"/>
  <c r="AI63" i="2"/>
  <c r="AL63" i="2"/>
  <c r="AI64" i="2"/>
  <c r="AL64" i="2"/>
  <c r="AI65" i="2"/>
  <c r="AL65" i="2"/>
  <c r="AI66" i="2"/>
  <c r="AL66" i="2"/>
  <c r="AI68" i="2"/>
  <c r="AL68" i="2"/>
  <c r="AI69" i="2"/>
  <c r="AL69" i="2"/>
  <c r="AI70" i="2"/>
  <c r="AL70" i="2"/>
  <c r="AI71" i="2"/>
  <c r="AL71" i="2"/>
  <c r="AI72" i="2"/>
  <c r="AL72" i="2"/>
  <c r="AI73" i="2"/>
  <c r="AL73" i="2"/>
  <c r="AI74" i="2"/>
  <c r="AL74" i="2"/>
  <c r="AI75" i="2"/>
  <c r="AL75" i="2"/>
  <c r="AI76" i="2"/>
  <c r="AL76" i="2"/>
  <c r="AI77" i="2"/>
  <c r="AL77" i="2"/>
  <c r="AI78" i="2"/>
  <c r="AL78" i="2"/>
  <c r="AI79" i="2"/>
  <c r="AL79" i="2"/>
  <c r="AI80" i="2"/>
  <c r="AL80" i="2"/>
  <c r="AI81" i="2"/>
  <c r="AL81" i="2"/>
  <c r="AI82" i="2"/>
  <c r="AL82" i="2"/>
  <c r="AI83" i="2"/>
  <c r="AL83" i="2"/>
  <c r="AI84" i="2"/>
  <c r="AL84" i="2"/>
  <c r="AI85" i="2"/>
  <c r="AL85" i="2"/>
  <c r="AI86" i="2"/>
  <c r="AL86" i="2"/>
  <c r="AI87" i="2"/>
  <c r="AL87" i="2"/>
  <c r="AI89" i="2"/>
  <c r="AL89" i="2"/>
  <c r="AI90" i="2"/>
  <c r="AL90" i="2"/>
  <c r="AI91" i="2"/>
  <c r="AL91" i="2"/>
  <c r="AI92" i="2"/>
  <c r="AL92" i="2"/>
  <c r="AI93" i="2"/>
  <c r="AL93" i="2"/>
  <c r="AI94" i="2"/>
  <c r="AL94" i="2"/>
  <c r="AI95" i="2"/>
  <c r="AL95" i="2"/>
  <c r="AI96" i="2"/>
  <c r="AL96" i="2"/>
  <c r="AI97" i="2"/>
  <c r="AL97" i="2"/>
  <c r="AI98" i="2"/>
  <c r="AL98" i="2"/>
  <c r="AI99" i="2"/>
  <c r="AL99" i="2"/>
  <c r="AI100" i="2"/>
  <c r="AL100" i="2"/>
  <c r="AI101" i="2"/>
  <c r="AL101" i="2"/>
  <c r="AI102" i="2"/>
  <c r="AL102" i="2"/>
  <c r="AI104" i="2"/>
  <c r="AL104" i="2"/>
  <c r="AI105" i="2"/>
  <c r="AL105" i="2"/>
  <c r="AG106" i="2"/>
  <c r="AH106" i="2"/>
  <c r="AI106" i="2"/>
  <c r="AJ106" i="2"/>
  <c r="AK106" i="2"/>
  <c r="AL106" i="2"/>
  <c r="AN106" i="2"/>
  <c r="H106" i="2" s="1"/>
  <c r="AG107" i="2"/>
  <c r="AH107" i="2"/>
  <c r="AI107" i="2"/>
  <c r="AJ107" i="2"/>
  <c r="AK107" i="2"/>
  <c r="AL107" i="2"/>
  <c r="AN107" i="2"/>
  <c r="H107" i="2" s="1"/>
  <c r="AG108" i="2"/>
  <c r="AH108" i="2"/>
  <c r="AI108" i="2"/>
  <c r="AJ108" i="2"/>
  <c r="AK108" i="2"/>
  <c r="AL108" i="2"/>
  <c r="AN108" i="2"/>
  <c r="H108" i="2" s="1"/>
  <c r="X108" i="2" s="1"/>
  <c r="AG109" i="2"/>
  <c r="AH109" i="2"/>
  <c r="AI109" i="2"/>
  <c r="AJ109" i="2"/>
  <c r="AK109" i="2"/>
  <c r="AL109" i="2"/>
  <c r="AN109" i="2"/>
  <c r="AO109" i="2" s="1"/>
  <c r="I109" i="2" s="1"/>
  <c r="AG110" i="2"/>
  <c r="AH110" i="2"/>
  <c r="AI110" i="2"/>
  <c r="AJ110" i="2"/>
  <c r="AK110" i="2"/>
  <c r="AL110" i="2"/>
  <c r="AN110" i="2"/>
  <c r="AG111" i="2"/>
  <c r="AH111" i="2"/>
  <c r="AI111" i="2"/>
  <c r="AJ111" i="2"/>
  <c r="AK111" i="2"/>
  <c r="AL111" i="2"/>
  <c r="AN111" i="2"/>
  <c r="H111" i="2" s="1"/>
  <c r="AG112" i="2"/>
  <c r="AH112" i="2"/>
  <c r="AI112" i="2"/>
  <c r="AJ112" i="2"/>
  <c r="AK112" i="2"/>
  <c r="AL112" i="2"/>
  <c r="AN112" i="2"/>
  <c r="AG113" i="2"/>
  <c r="AH113" i="2"/>
  <c r="AI113" i="2"/>
  <c r="AJ113" i="2"/>
  <c r="AK113" i="2"/>
  <c r="AL113" i="2"/>
  <c r="AN113" i="2"/>
  <c r="H113" i="2" s="1"/>
  <c r="R113" i="2" s="1"/>
  <c r="AG114" i="2"/>
  <c r="AH114" i="2"/>
  <c r="AI114" i="2"/>
  <c r="AJ114" i="2"/>
  <c r="AK114" i="2"/>
  <c r="AL114" i="2"/>
  <c r="AN114" i="2"/>
  <c r="H114" i="2" s="1"/>
  <c r="M114" i="2" s="1"/>
  <c r="AG115" i="2"/>
  <c r="AH115" i="2"/>
  <c r="AI115" i="2"/>
  <c r="AJ115" i="2"/>
  <c r="AK115" i="2"/>
  <c r="AL115" i="2"/>
  <c r="AN115" i="2"/>
  <c r="AG116" i="2"/>
  <c r="AH116" i="2"/>
  <c r="AI116" i="2"/>
  <c r="AJ116" i="2"/>
  <c r="AK116" i="2"/>
  <c r="AL116" i="2"/>
  <c r="AN116" i="2"/>
  <c r="AG117" i="2"/>
  <c r="AH117" i="2"/>
  <c r="AI117" i="2"/>
  <c r="AJ117" i="2"/>
  <c r="AK117" i="2"/>
  <c r="AL117" i="2"/>
  <c r="AN117" i="2"/>
  <c r="AG118" i="2"/>
  <c r="AH118" i="2"/>
  <c r="AI118" i="2"/>
  <c r="AJ118" i="2"/>
  <c r="AK118" i="2"/>
  <c r="AL118" i="2"/>
  <c r="AN118" i="2"/>
  <c r="AG119" i="2"/>
  <c r="AH119" i="2"/>
  <c r="AI119" i="2"/>
  <c r="AJ119" i="2"/>
  <c r="AK119" i="2"/>
  <c r="AL119" i="2"/>
  <c r="AN119" i="2"/>
  <c r="H119" i="2" s="1"/>
  <c r="AG120" i="2"/>
  <c r="AH120" i="2"/>
  <c r="AI120" i="2"/>
  <c r="AJ120" i="2"/>
  <c r="AK120" i="2"/>
  <c r="AL120" i="2"/>
  <c r="AN120" i="2"/>
  <c r="AG121" i="2"/>
  <c r="AH121" i="2"/>
  <c r="AI121" i="2"/>
  <c r="AJ121" i="2"/>
  <c r="AK121" i="2"/>
  <c r="AL121" i="2"/>
  <c r="AN121" i="2"/>
  <c r="AO121" i="2" s="1"/>
  <c r="I121" i="2" s="1"/>
  <c r="AG122" i="2"/>
  <c r="AH122" i="2"/>
  <c r="AI122" i="2"/>
  <c r="AJ122" i="2"/>
  <c r="AK122" i="2"/>
  <c r="AL122" i="2"/>
  <c r="AN122" i="2"/>
  <c r="AO122" i="2" s="1"/>
  <c r="I122" i="2" s="1"/>
  <c r="AG123" i="2"/>
  <c r="AH123" i="2"/>
  <c r="AI123" i="2"/>
  <c r="AJ123" i="2"/>
  <c r="AK123" i="2"/>
  <c r="AL123" i="2"/>
  <c r="AN123" i="2"/>
  <c r="AG124" i="2"/>
  <c r="AH124" i="2"/>
  <c r="AI124" i="2"/>
  <c r="AJ124" i="2"/>
  <c r="AK124" i="2"/>
  <c r="AL124" i="2"/>
  <c r="AN124" i="2"/>
  <c r="AO124" i="2" s="1"/>
  <c r="I124" i="2" s="1"/>
  <c r="AG125" i="2"/>
  <c r="AH125" i="2"/>
  <c r="AI125" i="2"/>
  <c r="AJ125" i="2"/>
  <c r="AK125" i="2"/>
  <c r="AL125" i="2"/>
  <c r="AN125" i="2"/>
  <c r="H125" i="2" s="1"/>
  <c r="AC125" i="2" s="1"/>
  <c r="AG126" i="2"/>
  <c r="AH126" i="2"/>
  <c r="AI126" i="2"/>
  <c r="AJ126" i="2"/>
  <c r="AK126" i="2"/>
  <c r="AL126" i="2"/>
  <c r="AN126" i="2"/>
  <c r="H126" i="2" s="1"/>
  <c r="AB126" i="2" s="1"/>
  <c r="AG127" i="2"/>
  <c r="AH127" i="2"/>
  <c r="AI127" i="2"/>
  <c r="AJ127" i="2"/>
  <c r="AK127" i="2"/>
  <c r="AL127" i="2"/>
  <c r="AN127" i="2"/>
  <c r="H127" i="2" s="1"/>
  <c r="K127" i="2" s="1"/>
  <c r="AG128" i="2"/>
  <c r="AH128" i="2"/>
  <c r="AI128" i="2"/>
  <c r="AJ128" i="2"/>
  <c r="AK128" i="2"/>
  <c r="AL128" i="2"/>
  <c r="AN128" i="2"/>
  <c r="H128" i="2" s="1"/>
  <c r="Y128" i="2" s="1"/>
  <c r="AG129" i="2"/>
  <c r="AH129" i="2"/>
  <c r="AI129" i="2"/>
  <c r="AJ129" i="2"/>
  <c r="AK129" i="2"/>
  <c r="AL129" i="2"/>
  <c r="AN129" i="2"/>
  <c r="H129" i="2" s="1"/>
  <c r="AG130" i="2"/>
  <c r="AH130" i="2"/>
  <c r="AI130" i="2"/>
  <c r="AJ130" i="2"/>
  <c r="AK130" i="2"/>
  <c r="AL130" i="2"/>
  <c r="AN130" i="2"/>
  <c r="H130" i="2" s="1"/>
  <c r="P130" i="2" s="1"/>
  <c r="AG131" i="2"/>
  <c r="AH131" i="2"/>
  <c r="AI131" i="2"/>
  <c r="AJ131" i="2"/>
  <c r="AK131" i="2"/>
  <c r="AL131" i="2"/>
  <c r="AN131" i="2"/>
  <c r="AG132" i="2"/>
  <c r="AH132" i="2"/>
  <c r="AI132" i="2"/>
  <c r="AJ132" i="2"/>
  <c r="AK132" i="2"/>
  <c r="AL132" i="2"/>
  <c r="AN132" i="2"/>
  <c r="AG133" i="2"/>
  <c r="AH133" i="2"/>
  <c r="AI133" i="2"/>
  <c r="AJ133" i="2"/>
  <c r="AK133" i="2"/>
  <c r="AL133" i="2"/>
  <c r="AN133" i="2"/>
  <c r="AO133" i="2" s="1"/>
  <c r="I133" i="2" s="1"/>
  <c r="AG134" i="2"/>
  <c r="AH134" i="2"/>
  <c r="AI134" i="2"/>
  <c r="AJ134" i="2"/>
  <c r="AK134" i="2"/>
  <c r="AL134" i="2"/>
  <c r="AN134" i="2"/>
  <c r="AG135" i="2"/>
  <c r="AH135" i="2"/>
  <c r="AI135" i="2"/>
  <c r="AJ135" i="2"/>
  <c r="AK135" i="2"/>
  <c r="AL135" i="2"/>
  <c r="AN135" i="2"/>
  <c r="H135" i="2" s="1"/>
  <c r="M135" i="2" s="1"/>
  <c r="AG136" i="2"/>
  <c r="AH136" i="2"/>
  <c r="AI136" i="2"/>
  <c r="AJ136" i="2"/>
  <c r="AK136" i="2"/>
  <c r="AL136" i="2"/>
  <c r="AN136" i="2"/>
  <c r="H136" i="2" s="1"/>
  <c r="AG137" i="2"/>
  <c r="AH137" i="2"/>
  <c r="AI137" i="2"/>
  <c r="AJ137" i="2"/>
  <c r="AK137" i="2"/>
  <c r="AL137" i="2"/>
  <c r="AN137" i="2"/>
  <c r="AG138" i="2"/>
  <c r="AH138" i="2"/>
  <c r="AI138" i="2"/>
  <c r="AJ138" i="2"/>
  <c r="AK138" i="2"/>
  <c r="AL138" i="2"/>
  <c r="AN138" i="2"/>
  <c r="H138" i="2" s="1"/>
  <c r="X138" i="2" s="1"/>
  <c r="AG139" i="2"/>
  <c r="AH139" i="2"/>
  <c r="AI139" i="2"/>
  <c r="AJ139" i="2"/>
  <c r="AK139" i="2"/>
  <c r="AL139" i="2"/>
  <c r="AN139" i="2"/>
  <c r="AG140" i="2"/>
  <c r="AH140" i="2"/>
  <c r="AI140" i="2"/>
  <c r="AJ140" i="2"/>
  <c r="AK140" i="2"/>
  <c r="AL140" i="2"/>
  <c r="AN140" i="2"/>
  <c r="AG141" i="2"/>
  <c r="AH141" i="2"/>
  <c r="AI141" i="2"/>
  <c r="AJ141" i="2"/>
  <c r="AK141" i="2"/>
  <c r="AL141" i="2"/>
  <c r="AN141" i="2"/>
  <c r="H141" i="2" s="1"/>
  <c r="AG142" i="2"/>
  <c r="AH142" i="2"/>
  <c r="AI142" i="2"/>
  <c r="AJ142" i="2"/>
  <c r="AK142" i="2"/>
  <c r="AL142" i="2"/>
  <c r="AN142" i="2"/>
  <c r="AG143" i="2"/>
  <c r="AH143" i="2"/>
  <c r="AI143" i="2"/>
  <c r="AJ143" i="2"/>
  <c r="AK143" i="2"/>
  <c r="AL143" i="2"/>
  <c r="AN143" i="2"/>
  <c r="H143" i="2" s="1"/>
  <c r="U143" i="2" s="1"/>
  <c r="AG144" i="2"/>
  <c r="AH144" i="2"/>
  <c r="AI144" i="2"/>
  <c r="AJ144" i="2"/>
  <c r="AK144" i="2"/>
  <c r="AL144" i="2"/>
  <c r="AN144" i="2"/>
  <c r="AO144" i="2" s="1"/>
  <c r="I144" i="2" s="1"/>
  <c r="AG145" i="2"/>
  <c r="AH145" i="2"/>
  <c r="AI145" i="2"/>
  <c r="AJ145" i="2"/>
  <c r="AK145" i="2"/>
  <c r="AL145" i="2"/>
  <c r="AN145" i="2"/>
  <c r="H145" i="2" s="1"/>
  <c r="AG146" i="2"/>
  <c r="AH146" i="2"/>
  <c r="AI146" i="2"/>
  <c r="AJ146" i="2"/>
  <c r="AK146" i="2"/>
  <c r="AL146" i="2"/>
  <c r="AN146" i="2"/>
  <c r="AG147" i="2"/>
  <c r="AH147" i="2"/>
  <c r="AI147" i="2"/>
  <c r="AJ147" i="2"/>
  <c r="AK147" i="2"/>
  <c r="AL147" i="2"/>
  <c r="AN147" i="2"/>
  <c r="AG148" i="2"/>
  <c r="AH148" i="2"/>
  <c r="AI148" i="2"/>
  <c r="AJ148" i="2"/>
  <c r="AK148" i="2"/>
  <c r="AL148" i="2"/>
  <c r="AN148" i="2"/>
  <c r="H148" i="2" s="1"/>
  <c r="P148" i="2" s="1"/>
  <c r="AG149" i="2"/>
  <c r="AH149" i="2"/>
  <c r="AI149" i="2"/>
  <c r="AJ149" i="2"/>
  <c r="AK149" i="2"/>
  <c r="AL149" i="2"/>
  <c r="AN149" i="2"/>
  <c r="AG150" i="2"/>
  <c r="AH150" i="2"/>
  <c r="AI150" i="2"/>
  <c r="AJ150" i="2"/>
  <c r="AK150" i="2"/>
  <c r="AL150" i="2"/>
  <c r="AN150" i="2"/>
  <c r="AG151" i="2"/>
  <c r="AH151" i="2"/>
  <c r="AI151" i="2"/>
  <c r="AJ151" i="2"/>
  <c r="AK151" i="2"/>
  <c r="AL151" i="2"/>
  <c r="AN151" i="2"/>
  <c r="H151" i="2" s="1"/>
  <c r="AD151" i="2" s="1"/>
  <c r="AG152" i="2"/>
  <c r="AH152" i="2"/>
  <c r="AI152" i="2"/>
  <c r="AJ152" i="2"/>
  <c r="AK152" i="2"/>
  <c r="AL152" i="2"/>
  <c r="AN152" i="2"/>
  <c r="AG153" i="2"/>
  <c r="AH153" i="2"/>
  <c r="AI153" i="2"/>
  <c r="AJ153" i="2"/>
  <c r="AK153" i="2"/>
  <c r="AL153" i="2"/>
  <c r="AN153" i="2"/>
  <c r="H153" i="2" s="1"/>
  <c r="AG154" i="2"/>
  <c r="AH154" i="2"/>
  <c r="AI154" i="2"/>
  <c r="AJ154" i="2"/>
  <c r="AK154" i="2"/>
  <c r="AL154" i="2"/>
  <c r="AN154" i="2"/>
  <c r="H154" i="2" s="1"/>
  <c r="AG155" i="2"/>
  <c r="AH155" i="2"/>
  <c r="AI155" i="2"/>
  <c r="AJ155" i="2"/>
  <c r="AK155" i="2"/>
  <c r="AL155" i="2"/>
  <c r="AN155" i="2"/>
  <c r="AG156" i="2"/>
  <c r="AH156" i="2"/>
  <c r="AI156" i="2"/>
  <c r="AJ156" i="2"/>
  <c r="AK156" i="2"/>
  <c r="AL156" i="2"/>
  <c r="AN156" i="2"/>
  <c r="AO156" i="2" s="1"/>
  <c r="I156" i="2" s="1"/>
  <c r="AG157" i="2"/>
  <c r="AH157" i="2"/>
  <c r="AI157" i="2"/>
  <c r="AJ157" i="2"/>
  <c r="AK157" i="2"/>
  <c r="AL157" i="2"/>
  <c r="AN157" i="2"/>
  <c r="H157" i="2" s="1"/>
  <c r="AG158" i="2"/>
  <c r="AH158" i="2"/>
  <c r="AI158" i="2"/>
  <c r="AJ158" i="2"/>
  <c r="AK158" i="2"/>
  <c r="AL158" i="2"/>
  <c r="AN158" i="2"/>
  <c r="H158" i="2" s="1"/>
  <c r="AB158" i="2" s="1"/>
  <c r="AG159" i="2"/>
  <c r="AH159" i="2"/>
  <c r="AI159" i="2"/>
  <c r="AJ159" i="2"/>
  <c r="AK159" i="2"/>
  <c r="AL159" i="2"/>
  <c r="AN159" i="2"/>
  <c r="AO159" i="2" s="1"/>
  <c r="I159" i="2" s="1"/>
  <c r="AG160" i="2"/>
  <c r="AH160" i="2"/>
  <c r="AI160" i="2"/>
  <c r="AJ160" i="2"/>
  <c r="AK160" i="2"/>
  <c r="AL160" i="2"/>
  <c r="AN160" i="2"/>
  <c r="AG161" i="2"/>
  <c r="AH161" i="2"/>
  <c r="AI161" i="2"/>
  <c r="AJ161" i="2"/>
  <c r="AK161" i="2"/>
  <c r="AL161" i="2"/>
  <c r="AN161" i="2"/>
  <c r="H161" i="2" s="1"/>
  <c r="AG162" i="2"/>
  <c r="AH162" i="2"/>
  <c r="AI162" i="2"/>
  <c r="AJ162" i="2"/>
  <c r="AK162" i="2"/>
  <c r="AL162" i="2"/>
  <c r="AN162" i="2"/>
  <c r="H162" i="2" s="1"/>
  <c r="AB162" i="2" s="1"/>
  <c r="AG163" i="2"/>
  <c r="AH163" i="2"/>
  <c r="AI163" i="2"/>
  <c r="AJ163" i="2"/>
  <c r="AK163" i="2"/>
  <c r="AL163" i="2"/>
  <c r="AN163" i="2"/>
  <c r="H163" i="2" s="1"/>
  <c r="AI18" i="2"/>
  <c r="AL18" i="2"/>
  <c r="AG164" i="2"/>
  <c r="AH164" i="2"/>
  <c r="AI164" i="2"/>
  <c r="AJ164" i="2"/>
  <c r="AK164" i="2"/>
  <c r="AL164" i="2"/>
  <c r="AN164" i="2"/>
  <c r="AO164" i="2" s="1"/>
  <c r="AL17" i="2"/>
  <c r="AK17" i="2"/>
  <c r="AJ17" i="2"/>
  <c r="AI17" i="2"/>
  <c r="AH17" i="2"/>
  <c r="AG17" i="2"/>
  <c r="AO128" i="2" l="1"/>
  <c r="I128" i="2" s="1"/>
  <c r="AO106" i="2"/>
  <c r="I106" i="2" s="1"/>
  <c r="AO108" i="2"/>
  <c r="I108" i="2" s="1"/>
  <c r="J113" i="2"/>
  <c r="AO161" i="2"/>
  <c r="I161" i="2" s="1"/>
  <c r="AM147" i="2"/>
  <c r="AM116" i="2"/>
  <c r="H122" i="2"/>
  <c r="P122" i="2" s="1"/>
  <c r="N158" i="2"/>
  <c r="H133" i="2"/>
  <c r="N133" i="2" s="1"/>
  <c r="AM111" i="2"/>
  <c r="AM117" i="2"/>
  <c r="AO145" i="2"/>
  <c r="I145" i="2" s="1"/>
  <c r="AO136" i="2"/>
  <c r="I136" i="2" s="1"/>
  <c r="AM131" i="2"/>
  <c r="AO114" i="2"/>
  <c r="I114" i="2" s="1"/>
  <c r="AC114" i="2"/>
  <c r="AM118" i="2"/>
  <c r="AM151" i="2"/>
  <c r="Q114" i="2"/>
  <c r="AM128" i="2"/>
  <c r="AM149" i="2"/>
  <c r="AM130" i="2"/>
  <c r="AM135" i="2"/>
  <c r="AM124" i="2"/>
  <c r="AO129" i="2"/>
  <c r="I129" i="2" s="1"/>
  <c r="AO119" i="2"/>
  <c r="I119" i="2" s="1"/>
  <c r="X161" i="2"/>
  <c r="P161" i="2"/>
  <c r="J129" i="2"/>
  <c r="S129" i="2"/>
  <c r="T129" i="2"/>
  <c r="X129" i="2"/>
  <c r="P129" i="2"/>
  <c r="S119" i="2"/>
  <c r="U119" i="2"/>
  <c r="AD119" i="2"/>
  <c r="K119" i="2"/>
  <c r="P107" i="2"/>
  <c r="L107" i="2"/>
  <c r="Q106" i="2"/>
  <c r="S106" i="2"/>
  <c r="Q136" i="2"/>
  <c r="AC136" i="2"/>
  <c r="X145" i="2"/>
  <c r="S145" i="2"/>
  <c r="Y145" i="2"/>
  <c r="AA135" i="2"/>
  <c r="M143" i="2"/>
  <c r="AM146" i="2"/>
  <c r="AM134" i="2"/>
  <c r="AM132" i="2"/>
  <c r="AM129" i="2"/>
  <c r="Y158" i="2"/>
  <c r="AM148" i="2"/>
  <c r="AM140" i="2"/>
  <c r="AC128" i="2"/>
  <c r="AM123" i="2"/>
  <c r="AM120" i="2"/>
  <c r="AM119" i="2"/>
  <c r="R114" i="2"/>
  <c r="AO107" i="2"/>
  <c r="I107" i="2" s="1"/>
  <c r="Q158" i="2"/>
  <c r="P158" i="2"/>
  <c r="H156" i="2"/>
  <c r="R156" i="2" s="1"/>
  <c r="AO154" i="2"/>
  <c r="I154" i="2" s="1"/>
  <c r="AM150" i="2"/>
  <c r="AO130" i="2"/>
  <c r="I130" i="2" s="1"/>
  <c r="S135" i="2"/>
  <c r="H121" i="2"/>
  <c r="T121" i="2" s="1"/>
  <c r="AM113" i="2"/>
  <c r="AM160" i="2"/>
  <c r="AA143" i="2"/>
  <c r="AM137" i="2"/>
  <c r="AO162" i="2"/>
  <c r="I162" i="2" s="1"/>
  <c r="H160" i="2"/>
  <c r="W160" i="2" s="1"/>
  <c r="AO160" i="2"/>
  <c r="I160" i="2" s="1"/>
  <c r="AO158" i="2"/>
  <c r="I158" i="2" s="1"/>
  <c r="AM156" i="2"/>
  <c r="AO149" i="2"/>
  <c r="I149" i="2" s="1"/>
  <c r="H149" i="2"/>
  <c r="Z149" i="2" s="1"/>
  <c r="AO148" i="2"/>
  <c r="I148" i="2" s="1"/>
  <c r="U136" i="2"/>
  <c r="V119" i="2"/>
  <c r="AO111" i="2"/>
  <c r="I111" i="2" s="1"/>
  <c r="Y108" i="2"/>
  <c r="Q108" i="2"/>
  <c r="K128" i="2"/>
  <c r="M128" i="2"/>
  <c r="Z128" i="2"/>
  <c r="R128" i="2"/>
  <c r="T128" i="2"/>
  <c r="U128" i="2"/>
  <c r="J128" i="2"/>
  <c r="X128" i="2"/>
  <c r="M162" i="2"/>
  <c r="X162" i="2"/>
  <c r="T162" i="2"/>
  <c r="O158" i="2"/>
  <c r="Z158" i="2"/>
  <c r="R158" i="2"/>
  <c r="S158" i="2"/>
  <c r="W158" i="2"/>
  <c r="J158" i="2"/>
  <c r="X158" i="2"/>
  <c r="AA158" i="2"/>
  <c r="AO146" i="2"/>
  <c r="I146" i="2" s="1"/>
  <c r="H146" i="2"/>
  <c r="P146" i="2" s="1"/>
  <c r="H144" i="2"/>
  <c r="R138" i="2"/>
  <c r="Z138" i="2"/>
  <c r="AA138" i="2"/>
  <c r="J138" i="2"/>
  <c r="K138" i="2"/>
  <c r="S138" i="2"/>
  <c r="T136" i="2"/>
  <c r="Q128" i="2"/>
  <c r="L106" i="2"/>
  <c r="R106" i="2"/>
  <c r="J106" i="2"/>
  <c r="X106" i="2"/>
  <c r="K106" i="2"/>
  <c r="Y106" i="2"/>
  <c r="M106" i="2"/>
  <c r="Z106" i="2"/>
  <c r="P106" i="2"/>
  <c r="AA106" i="2"/>
  <c r="L162" i="2"/>
  <c r="V143" i="2"/>
  <c r="AO140" i="2"/>
  <c r="I140" i="2" s="1"/>
  <c r="H140" i="2"/>
  <c r="Q140" i="2" s="1"/>
  <c r="P138" i="2"/>
  <c r="P128" i="2"/>
  <c r="AM109" i="2"/>
  <c r="H132" i="2"/>
  <c r="U132" i="2" s="1"/>
  <c r="AO132" i="2"/>
  <c r="I132" i="2" s="1"/>
  <c r="AB128" i="2"/>
  <c r="H137" i="2"/>
  <c r="AE137" i="2" s="1"/>
  <c r="AO137" i="2"/>
  <c r="I137" i="2" s="1"/>
  <c r="L128" i="2"/>
  <c r="AM110" i="2"/>
  <c r="AC161" i="2"/>
  <c r="AM163" i="2"/>
  <c r="AM139" i="2"/>
  <c r="K136" i="2"/>
  <c r="R136" i="2"/>
  <c r="J136" i="2"/>
  <c r="X136" i="2"/>
  <c r="L136" i="2"/>
  <c r="Y136" i="2"/>
  <c r="M136" i="2"/>
  <c r="Z136" i="2"/>
  <c r="P136" i="2"/>
  <c r="AB136" i="2"/>
  <c r="T119" i="2"/>
  <c r="L119" i="2"/>
  <c r="X119" i="2"/>
  <c r="M119" i="2"/>
  <c r="AA119" i="2"/>
  <c r="N119" i="2"/>
  <c r="AB119" i="2"/>
  <c r="P119" i="2"/>
  <c r="AC119" i="2"/>
  <c r="AC106" i="2"/>
  <c r="N161" i="2"/>
  <c r="Q161" i="2"/>
  <c r="Y161" i="2"/>
  <c r="M161" i="2"/>
  <c r="U161" i="2"/>
  <c r="H152" i="2"/>
  <c r="K152" i="2" s="1"/>
  <c r="AO152" i="2"/>
  <c r="I152" i="2" s="1"/>
  <c r="J145" i="2"/>
  <c r="T145" i="2"/>
  <c r="K145" i="2"/>
  <c r="AA145" i="2"/>
  <c r="L145" i="2"/>
  <c r="AB145" i="2"/>
  <c r="P145" i="2"/>
  <c r="Q145" i="2"/>
  <c r="AM126" i="2"/>
  <c r="AM122" i="2"/>
  <c r="L114" i="2"/>
  <c r="P114" i="2"/>
  <c r="AA114" i="2"/>
  <c r="S114" i="2"/>
  <c r="U114" i="2"/>
  <c r="J114" i="2"/>
  <c r="X114" i="2"/>
  <c r="K114" i="2"/>
  <c r="Y114" i="2"/>
  <c r="Z114" i="2"/>
  <c r="U106" i="2"/>
  <c r="AM159" i="2"/>
  <c r="AM158" i="2"/>
  <c r="AM143" i="2"/>
  <c r="AB129" i="2"/>
  <c r="L129" i="2"/>
  <c r="H124" i="2"/>
  <c r="K124" i="2" s="1"/>
  <c r="AM121" i="2"/>
  <c r="AB107" i="2"/>
  <c r="AM162" i="2"/>
  <c r="AM152" i="2"/>
  <c r="N135" i="2"/>
  <c r="AA129" i="2"/>
  <c r="K129" i="2"/>
  <c r="AM108" i="2"/>
  <c r="Y107" i="2"/>
  <c r="AM142" i="2"/>
  <c r="AO138" i="2"/>
  <c r="I138" i="2" s="1"/>
  <c r="Y129" i="2"/>
  <c r="AB113" i="2"/>
  <c r="X107" i="2"/>
  <c r="AM155" i="2"/>
  <c r="AM154" i="2"/>
  <c r="Z113" i="2"/>
  <c r="AM106" i="2"/>
  <c r="AM161" i="2"/>
  <c r="AM138" i="2"/>
  <c r="AC135" i="2"/>
  <c r="AM133" i="2"/>
  <c r="Q129" i="2"/>
  <c r="AM127" i="2"/>
  <c r="X102" i="2"/>
  <c r="M102" i="2"/>
  <c r="R102" i="2"/>
  <c r="N157" i="2"/>
  <c r="V157" i="2"/>
  <c r="AD157" i="2"/>
  <c r="Q157" i="2"/>
  <c r="Z157" i="2"/>
  <c r="Y157" i="2"/>
  <c r="R157" i="2"/>
  <c r="AA157" i="2"/>
  <c r="J157" i="2"/>
  <c r="S157" i="2"/>
  <c r="AB157" i="2"/>
  <c r="P157" i="2"/>
  <c r="K157" i="2"/>
  <c r="T157" i="2"/>
  <c r="AC157" i="2"/>
  <c r="L157" i="2"/>
  <c r="U157" i="2"/>
  <c r="AE157" i="2"/>
  <c r="M157" i="2"/>
  <c r="W157" i="2"/>
  <c r="O157" i="2"/>
  <c r="X157" i="2"/>
  <c r="Q154" i="2"/>
  <c r="Y154" i="2"/>
  <c r="M154" i="2"/>
  <c r="U154" i="2"/>
  <c r="AC154" i="2"/>
  <c r="L154" i="2"/>
  <c r="W154" i="2"/>
  <c r="N154" i="2"/>
  <c r="X154" i="2"/>
  <c r="O154" i="2"/>
  <c r="Z154" i="2"/>
  <c r="P154" i="2"/>
  <c r="AA154" i="2"/>
  <c r="R154" i="2"/>
  <c r="AB154" i="2"/>
  <c r="V154" i="2"/>
  <c r="S154" i="2"/>
  <c r="AD154" i="2"/>
  <c r="J154" i="2"/>
  <c r="T154" i="2"/>
  <c r="AE154" i="2"/>
  <c r="K154" i="2"/>
  <c r="L163" i="2"/>
  <c r="T163" i="2"/>
  <c r="AB163" i="2"/>
  <c r="N163" i="2"/>
  <c r="W163" i="2"/>
  <c r="M163" i="2"/>
  <c r="U163" i="2"/>
  <c r="AC163" i="2"/>
  <c r="V163" i="2"/>
  <c r="AD163" i="2"/>
  <c r="AE163" i="2"/>
  <c r="O163" i="2"/>
  <c r="P163" i="2"/>
  <c r="X163" i="2"/>
  <c r="K163" i="2"/>
  <c r="Q163" i="2"/>
  <c r="Y163" i="2"/>
  <c r="R163" i="2"/>
  <c r="S163" i="2"/>
  <c r="J163" i="2"/>
  <c r="Z163" i="2"/>
  <c r="AA163" i="2"/>
  <c r="J153" i="2"/>
  <c r="R153" i="2"/>
  <c r="Z153" i="2"/>
  <c r="N153" i="2"/>
  <c r="V153" i="2"/>
  <c r="AD153" i="2"/>
  <c r="O153" i="2"/>
  <c r="Y153" i="2"/>
  <c r="P153" i="2"/>
  <c r="AA153" i="2"/>
  <c r="X153" i="2"/>
  <c r="Q153" i="2"/>
  <c r="AB153" i="2"/>
  <c r="S153" i="2"/>
  <c r="AC153" i="2"/>
  <c r="T153" i="2"/>
  <c r="AE153" i="2"/>
  <c r="K153" i="2"/>
  <c r="U153" i="2"/>
  <c r="L153" i="2"/>
  <c r="W153" i="2"/>
  <c r="M153" i="2"/>
  <c r="N141" i="2"/>
  <c r="V141" i="2"/>
  <c r="AD141" i="2"/>
  <c r="Q141" i="2"/>
  <c r="Y141" i="2"/>
  <c r="J141" i="2"/>
  <c r="R141" i="2"/>
  <c r="Z141" i="2"/>
  <c r="K141" i="2"/>
  <c r="S141" i="2"/>
  <c r="AA141" i="2"/>
  <c r="L141" i="2"/>
  <c r="T141" i="2"/>
  <c r="AB141" i="2"/>
  <c r="U141" i="2"/>
  <c r="W141" i="2"/>
  <c r="X141" i="2"/>
  <c r="AC141" i="2"/>
  <c r="AE141" i="2"/>
  <c r="M141" i="2"/>
  <c r="O141" i="2"/>
  <c r="P141" i="2"/>
  <c r="L151" i="2"/>
  <c r="T151" i="2"/>
  <c r="AB151" i="2"/>
  <c r="O151" i="2"/>
  <c r="W151" i="2"/>
  <c r="AE151" i="2"/>
  <c r="P151" i="2"/>
  <c r="X151" i="2"/>
  <c r="Q151" i="2"/>
  <c r="Y151" i="2"/>
  <c r="AA162" i="2"/>
  <c r="S162" i="2"/>
  <c r="K162" i="2"/>
  <c r="AB161" i="2"/>
  <c r="T161" i="2"/>
  <c r="L161" i="2"/>
  <c r="AD156" i="2"/>
  <c r="U156" i="2"/>
  <c r="AC151" i="2"/>
  <c r="M151" i="2"/>
  <c r="V148" i="2"/>
  <c r="H147" i="2"/>
  <c r="AO147" i="2"/>
  <c r="I147" i="2" s="1"/>
  <c r="L143" i="2"/>
  <c r="T143" i="2"/>
  <c r="AB143" i="2"/>
  <c r="O143" i="2"/>
  <c r="W143" i="2"/>
  <c r="AE143" i="2"/>
  <c r="P143" i="2"/>
  <c r="X143" i="2"/>
  <c r="Q143" i="2"/>
  <c r="Y143" i="2"/>
  <c r="J143" i="2"/>
  <c r="R143" i="2"/>
  <c r="Z143" i="2"/>
  <c r="AD143" i="2"/>
  <c r="K143" i="2"/>
  <c r="AO117" i="2"/>
  <c r="I117" i="2" s="1"/>
  <c r="H117" i="2"/>
  <c r="L127" i="2"/>
  <c r="T127" i="2"/>
  <c r="AB127" i="2"/>
  <c r="M127" i="2"/>
  <c r="U127" i="2"/>
  <c r="AC127" i="2"/>
  <c r="N127" i="2"/>
  <c r="V127" i="2"/>
  <c r="AD127" i="2"/>
  <c r="O127" i="2"/>
  <c r="W127" i="2"/>
  <c r="AE127" i="2"/>
  <c r="P127" i="2"/>
  <c r="X127" i="2"/>
  <c r="Q127" i="2"/>
  <c r="Y127" i="2"/>
  <c r="J127" i="2"/>
  <c r="R127" i="2"/>
  <c r="Z127" i="2"/>
  <c r="O111" i="2"/>
  <c r="W111" i="2"/>
  <c r="AE111" i="2"/>
  <c r="Q111" i="2"/>
  <c r="Y111" i="2"/>
  <c r="J111" i="2"/>
  <c r="R111" i="2"/>
  <c r="Z111" i="2"/>
  <c r="K111" i="2"/>
  <c r="S111" i="2"/>
  <c r="AA111" i="2"/>
  <c r="L111" i="2"/>
  <c r="AB111" i="2"/>
  <c r="M111" i="2"/>
  <c r="AC111" i="2"/>
  <c r="N111" i="2"/>
  <c r="AD111" i="2"/>
  <c r="P111" i="2"/>
  <c r="T111" i="2"/>
  <c r="U111" i="2"/>
  <c r="V111" i="2"/>
  <c r="Z162" i="2"/>
  <c r="R162" i="2"/>
  <c r="J162" i="2"/>
  <c r="AA161" i="2"/>
  <c r="S161" i="2"/>
  <c r="K161" i="2"/>
  <c r="M158" i="2"/>
  <c r="U158" i="2"/>
  <c r="AC158" i="2"/>
  <c r="T156" i="2"/>
  <c r="AA151" i="2"/>
  <c r="K151" i="2"/>
  <c r="U148" i="2"/>
  <c r="AM145" i="2"/>
  <c r="AC143" i="2"/>
  <c r="H142" i="2"/>
  <c r="AO142" i="2"/>
  <c r="I142" i="2" s="1"/>
  <c r="X130" i="2"/>
  <c r="M126" i="2"/>
  <c r="U126" i="2"/>
  <c r="AC126" i="2"/>
  <c r="N126" i="2"/>
  <c r="V126" i="2"/>
  <c r="AD126" i="2"/>
  <c r="O126" i="2"/>
  <c r="W126" i="2"/>
  <c r="AE126" i="2"/>
  <c r="P126" i="2"/>
  <c r="X126" i="2"/>
  <c r="Q126" i="2"/>
  <c r="Y126" i="2"/>
  <c r="J126" i="2"/>
  <c r="R126" i="2"/>
  <c r="Z126" i="2"/>
  <c r="K126" i="2"/>
  <c r="S126" i="2"/>
  <c r="AA126" i="2"/>
  <c r="T126" i="2"/>
  <c r="AO163" i="2"/>
  <c r="I163" i="2" s="1"/>
  <c r="Y162" i="2"/>
  <c r="Q162" i="2"/>
  <c r="Z161" i="2"/>
  <c r="R161" i="2"/>
  <c r="J161" i="2"/>
  <c r="AO157" i="2"/>
  <c r="I157" i="2" s="1"/>
  <c r="S156" i="2"/>
  <c r="AO153" i="2"/>
  <c r="I153" i="2" s="1"/>
  <c r="Z151" i="2"/>
  <c r="J151" i="2"/>
  <c r="Y149" i="2"/>
  <c r="J149" i="2"/>
  <c r="R149" i="2"/>
  <c r="Q148" i="2"/>
  <c r="AO141" i="2"/>
  <c r="I141" i="2" s="1"/>
  <c r="L135" i="2"/>
  <c r="T135" i="2"/>
  <c r="AB135" i="2"/>
  <c r="O135" i="2"/>
  <c r="W135" i="2"/>
  <c r="AE135" i="2"/>
  <c r="P135" i="2"/>
  <c r="X135" i="2"/>
  <c r="Q135" i="2"/>
  <c r="Y135" i="2"/>
  <c r="J135" i="2"/>
  <c r="R135" i="2"/>
  <c r="Z135" i="2"/>
  <c r="AD135" i="2"/>
  <c r="K135" i="2"/>
  <c r="L126" i="2"/>
  <c r="AO116" i="2"/>
  <c r="I116" i="2" s="1"/>
  <c r="H116" i="2"/>
  <c r="V151" i="2"/>
  <c r="H150" i="2"/>
  <c r="AO150" i="2"/>
  <c r="I150" i="2" s="1"/>
  <c r="H134" i="2"/>
  <c r="AO134" i="2"/>
  <c r="I134" i="2" s="1"/>
  <c r="Q130" i="2"/>
  <c r="Y130" i="2"/>
  <c r="J130" i="2"/>
  <c r="R130" i="2"/>
  <c r="Z130" i="2"/>
  <c r="K130" i="2"/>
  <c r="S130" i="2"/>
  <c r="AA130" i="2"/>
  <c r="L130" i="2"/>
  <c r="T130" i="2"/>
  <c r="AB130" i="2"/>
  <c r="M130" i="2"/>
  <c r="U130" i="2"/>
  <c r="AC130" i="2"/>
  <c r="N130" i="2"/>
  <c r="V130" i="2"/>
  <c r="AD130" i="2"/>
  <c r="O130" i="2"/>
  <c r="W130" i="2"/>
  <c r="AE130" i="2"/>
  <c r="N125" i="2"/>
  <c r="V125" i="2"/>
  <c r="AD125" i="2"/>
  <c r="O125" i="2"/>
  <c r="W125" i="2"/>
  <c r="AE125" i="2"/>
  <c r="P125" i="2"/>
  <c r="X125" i="2"/>
  <c r="Q125" i="2"/>
  <c r="Y125" i="2"/>
  <c r="J125" i="2"/>
  <c r="R125" i="2"/>
  <c r="Z125" i="2"/>
  <c r="K125" i="2"/>
  <c r="S125" i="2"/>
  <c r="AA125" i="2"/>
  <c r="L125" i="2"/>
  <c r="T125" i="2"/>
  <c r="AB125" i="2"/>
  <c r="U125" i="2"/>
  <c r="N151" i="2"/>
  <c r="O148" i="2"/>
  <c r="W148" i="2"/>
  <c r="AE148" i="2"/>
  <c r="J148" i="2"/>
  <c r="R148" i="2"/>
  <c r="Z148" i="2"/>
  <c r="K148" i="2"/>
  <c r="S148" i="2"/>
  <c r="AA148" i="2"/>
  <c r="L148" i="2"/>
  <c r="T148" i="2"/>
  <c r="AB148" i="2"/>
  <c r="AE162" i="2"/>
  <c r="O162" i="2"/>
  <c r="U151" i="2"/>
  <c r="AD148" i="2"/>
  <c r="N148" i="2"/>
  <c r="AM144" i="2"/>
  <c r="M125" i="2"/>
  <c r="AO115" i="2"/>
  <c r="I115" i="2" s="1"/>
  <c r="H115" i="2"/>
  <c r="X148" i="2"/>
  <c r="P162" i="2"/>
  <c r="W162" i="2"/>
  <c r="AD162" i="2"/>
  <c r="V162" i="2"/>
  <c r="N162" i="2"/>
  <c r="AE161" i="2"/>
  <c r="W161" i="2"/>
  <c r="O161" i="2"/>
  <c r="AE158" i="2"/>
  <c r="V158" i="2"/>
  <c r="L158" i="2"/>
  <c r="H155" i="2"/>
  <c r="AO155" i="2"/>
  <c r="I155" i="2" s="1"/>
  <c r="S151" i="2"/>
  <c r="AC148" i="2"/>
  <c r="M148" i="2"/>
  <c r="S143" i="2"/>
  <c r="H139" i="2"/>
  <c r="AO139" i="2"/>
  <c r="I139" i="2" s="1"/>
  <c r="V135" i="2"/>
  <c r="H123" i="2"/>
  <c r="AO123" i="2"/>
  <c r="I123" i="2" s="1"/>
  <c r="S127" i="2"/>
  <c r="H159" i="2"/>
  <c r="AC162" i="2"/>
  <c r="U162" i="2"/>
  <c r="AD161" i="2"/>
  <c r="V161" i="2"/>
  <c r="AD158" i="2"/>
  <c r="T158" i="2"/>
  <c r="K158" i="2"/>
  <c r="AM157" i="2"/>
  <c r="X156" i="2"/>
  <c r="N156" i="2"/>
  <c r="AM153" i="2"/>
  <c r="R151" i="2"/>
  <c r="Y148" i="2"/>
  <c r="N143" i="2"/>
  <c r="AM141" i="2"/>
  <c r="Q138" i="2"/>
  <c r="Y138" i="2"/>
  <c r="L138" i="2"/>
  <c r="T138" i="2"/>
  <c r="AB138" i="2"/>
  <c r="M138" i="2"/>
  <c r="U138" i="2"/>
  <c r="AC138" i="2"/>
  <c r="N138" i="2"/>
  <c r="V138" i="2"/>
  <c r="AD138" i="2"/>
  <c r="O138" i="2"/>
  <c r="W138" i="2"/>
  <c r="AE138" i="2"/>
  <c r="AM136" i="2"/>
  <c r="U135" i="2"/>
  <c r="H131" i="2"/>
  <c r="AO131" i="2"/>
  <c r="I131" i="2" s="1"/>
  <c r="AA127" i="2"/>
  <c r="AM125" i="2"/>
  <c r="H118" i="2"/>
  <c r="AO118" i="2"/>
  <c r="I118" i="2" s="1"/>
  <c r="X111" i="2"/>
  <c r="V113" i="2"/>
  <c r="H112" i="2"/>
  <c r="AO112" i="2"/>
  <c r="I112" i="2" s="1"/>
  <c r="H110" i="2"/>
  <c r="AO110" i="2"/>
  <c r="I110" i="2" s="1"/>
  <c r="H109" i="2"/>
  <c r="P108" i="2"/>
  <c r="K107" i="2"/>
  <c r="S107" i="2"/>
  <c r="AA107" i="2"/>
  <c r="M107" i="2"/>
  <c r="U107" i="2"/>
  <c r="AC107" i="2"/>
  <c r="N107" i="2"/>
  <c r="V107" i="2"/>
  <c r="AD107" i="2"/>
  <c r="O107" i="2"/>
  <c r="W107" i="2"/>
  <c r="AE107" i="2"/>
  <c r="AE145" i="2"/>
  <c r="W145" i="2"/>
  <c r="O145" i="2"/>
  <c r="AE129" i="2"/>
  <c r="W129" i="2"/>
  <c r="O129" i="2"/>
  <c r="H120" i="2"/>
  <c r="AO120" i="2"/>
  <c r="I120" i="2" s="1"/>
  <c r="AM114" i="2"/>
  <c r="T113" i="2"/>
  <c r="AE108" i="2"/>
  <c r="O108" i="2"/>
  <c r="AM107" i="2"/>
  <c r="T107" i="2"/>
  <c r="K102" i="2"/>
  <c r="S102" i="2"/>
  <c r="AA102" i="2"/>
  <c r="N102" i="2"/>
  <c r="V102" i="2"/>
  <c r="AD102" i="2"/>
  <c r="Q102" i="2"/>
  <c r="P102" i="2"/>
  <c r="AB102" i="2"/>
  <c r="T102" i="2"/>
  <c r="AE102" i="2"/>
  <c r="U102" i="2"/>
  <c r="J102" i="2"/>
  <c r="W102" i="2"/>
  <c r="AC102" i="2"/>
  <c r="AO151" i="2"/>
  <c r="I151" i="2" s="1"/>
  <c r="AD145" i="2"/>
  <c r="V145" i="2"/>
  <c r="N145" i="2"/>
  <c r="AE144" i="2"/>
  <c r="W144" i="2"/>
  <c r="O144" i="2"/>
  <c r="AO143" i="2"/>
  <c r="I143" i="2" s="1"/>
  <c r="AE136" i="2"/>
  <c r="W136" i="2"/>
  <c r="O136" i="2"/>
  <c r="AO135" i="2"/>
  <c r="I135" i="2" s="1"/>
  <c r="AD129" i="2"/>
  <c r="V129" i="2"/>
  <c r="N129" i="2"/>
  <c r="AE128" i="2"/>
  <c r="W128" i="2"/>
  <c r="O128" i="2"/>
  <c r="AO127" i="2"/>
  <c r="I127" i="2" s="1"/>
  <c r="AM115" i="2"/>
  <c r="S113" i="2"/>
  <c r="AA108" i="2"/>
  <c r="K108" i="2"/>
  <c r="R107" i="2"/>
  <c r="Z102" i="2"/>
  <c r="AC145" i="2"/>
  <c r="U145" i="2"/>
  <c r="M145" i="2"/>
  <c r="AD144" i="2"/>
  <c r="V144" i="2"/>
  <c r="N144" i="2"/>
  <c r="AD136" i="2"/>
  <c r="V136" i="2"/>
  <c r="N136" i="2"/>
  <c r="AC129" i="2"/>
  <c r="U129" i="2"/>
  <c r="M129" i="2"/>
  <c r="AD128" i="2"/>
  <c r="V128" i="2"/>
  <c r="N128" i="2"/>
  <c r="AO126" i="2"/>
  <c r="I126" i="2" s="1"/>
  <c r="Z124" i="2"/>
  <c r="AM112" i="2"/>
  <c r="Q107" i="2"/>
  <c r="Y102" i="2"/>
  <c r="AO125" i="2"/>
  <c r="I125" i="2" s="1"/>
  <c r="M113" i="2"/>
  <c r="U113" i="2"/>
  <c r="AC113" i="2"/>
  <c r="O113" i="2"/>
  <c r="W113" i="2"/>
  <c r="AE113" i="2"/>
  <c r="P113" i="2"/>
  <c r="X113" i="2"/>
  <c r="Q113" i="2"/>
  <c r="Y113" i="2"/>
  <c r="AD113" i="2"/>
  <c r="N113" i="2"/>
  <c r="J108" i="2"/>
  <c r="R108" i="2"/>
  <c r="Z108" i="2"/>
  <c r="L108" i="2"/>
  <c r="T108" i="2"/>
  <c r="AB108" i="2"/>
  <c r="M108" i="2"/>
  <c r="U108" i="2"/>
  <c r="AC108" i="2"/>
  <c r="N108" i="2"/>
  <c r="V108" i="2"/>
  <c r="AD108" i="2"/>
  <c r="L113" i="2"/>
  <c r="W108" i="2"/>
  <c r="Z145" i="2"/>
  <c r="R145" i="2"/>
  <c r="AA144" i="2"/>
  <c r="S144" i="2"/>
  <c r="AA136" i="2"/>
  <c r="S136" i="2"/>
  <c r="Z129" i="2"/>
  <c r="R129" i="2"/>
  <c r="AA128" i="2"/>
  <c r="S128" i="2"/>
  <c r="O119" i="2"/>
  <c r="W119" i="2"/>
  <c r="AE119" i="2"/>
  <c r="Q119" i="2"/>
  <c r="Y119" i="2"/>
  <c r="J119" i="2"/>
  <c r="R119" i="2"/>
  <c r="Z119" i="2"/>
  <c r="AA113" i="2"/>
  <c r="K113" i="2"/>
  <c r="S108" i="2"/>
  <c r="Z107" i="2"/>
  <c r="J107" i="2"/>
  <c r="O102" i="2"/>
  <c r="AE114" i="2"/>
  <c r="W114" i="2"/>
  <c r="O114" i="2"/>
  <c r="AO113" i="2"/>
  <c r="I113" i="2" s="1"/>
  <c r="AE106" i="2"/>
  <c r="W106" i="2"/>
  <c r="O106" i="2"/>
  <c r="AD114" i="2"/>
  <c r="V114" i="2"/>
  <c r="N114" i="2"/>
  <c r="AD106" i="2"/>
  <c r="V106" i="2"/>
  <c r="N106" i="2"/>
  <c r="AB114" i="2"/>
  <c r="T114" i="2"/>
  <c r="AB106" i="2"/>
  <c r="T106" i="2"/>
  <c r="H164" i="2"/>
  <c r="J164" i="2" s="1"/>
  <c r="AM164" i="2"/>
  <c r="I164" i="2"/>
  <c r="H2" i="19"/>
  <c r="F2" i="19"/>
  <c r="D2" i="19"/>
  <c r="R124" i="2" l="1"/>
  <c r="O121" i="2"/>
  <c r="W121" i="2"/>
  <c r="M124" i="2"/>
  <c r="N137" i="2"/>
  <c r="L122" i="2"/>
  <c r="AB132" i="2"/>
  <c r="AC132" i="2"/>
  <c r="AD122" i="2"/>
  <c r="N122" i="2"/>
  <c r="J132" i="2"/>
  <c r="K132" i="2"/>
  <c r="AE152" i="2"/>
  <c r="Z133" i="2"/>
  <c r="Q122" i="2"/>
  <c r="S122" i="2"/>
  <c r="Z132" i="2"/>
  <c r="AA132" i="2"/>
  <c r="J133" i="2"/>
  <c r="L132" i="2"/>
  <c r="W137" i="2"/>
  <c r="X133" i="2"/>
  <c r="R133" i="2"/>
  <c r="V122" i="2"/>
  <c r="AA122" i="2"/>
  <c r="AC122" i="2"/>
  <c r="K122" i="2"/>
  <c r="X122" i="2"/>
  <c r="U122" i="2"/>
  <c r="Z122" i="2"/>
  <c r="AE122" i="2"/>
  <c r="M122" i="2"/>
  <c r="R122" i="2"/>
  <c r="AA156" i="2"/>
  <c r="AC133" i="2"/>
  <c r="W122" i="2"/>
  <c r="AB122" i="2"/>
  <c r="J122" i="2"/>
  <c r="P133" i="2"/>
  <c r="K156" i="2"/>
  <c r="AB133" i="2"/>
  <c r="O122" i="2"/>
  <c r="T122" i="2"/>
  <c r="Y122" i="2"/>
  <c r="O146" i="2"/>
  <c r="S124" i="2"/>
  <c r="T133" i="2"/>
  <c r="Y133" i="2"/>
  <c r="V146" i="2"/>
  <c r="AA124" i="2"/>
  <c r="L124" i="2"/>
  <c r="L133" i="2"/>
  <c r="Q133" i="2"/>
  <c r="AB146" i="2"/>
  <c r="M133" i="2"/>
  <c r="AE133" i="2"/>
  <c r="W146" i="2"/>
  <c r="Z137" i="2"/>
  <c r="X146" i="2"/>
  <c r="Z146" i="2"/>
  <c r="AA133" i="2"/>
  <c r="AD133" i="2"/>
  <c r="T146" i="2"/>
  <c r="Q160" i="2"/>
  <c r="W133" i="2"/>
  <c r="U137" i="2"/>
  <c r="S133" i="2"/>
  <c r="V133" i="2"/>
  <c r="Y146" i="2"/>
  <c r="U133" i="2"/>
  <c r="P160" i="2"/>
  <c r="O133" i="2"/>
  <c r="K133" i="2"/>
  <c r="R132" i="2"/>
  <c r="S132" i="2"/>
  <c r="AE121" i="2"/>
  <c r="T132" i="2"/>
  <c r="AD146" i="2"/>
  <c r="L146" i="2"/>
  <c r="X160" i="2"/>
  <c r="P121" i="2"/>
  <c r="R121" i="2"/>
  <c r="W132" i="2"/>
  <c r="M121" i="2"/>
  <c r="N121" i="2"/>
  <c r="T124" i="2"/>
  <c r="U124" i="2"/>
  <c r="N146" i="2"/>
  <c r="Q146" i="2"/>
  <c r="R146" i="2"/>
  <c r="M160" i="2"/>
  <c r="AE160" i="2"/>
  <c r="Y121" i="2"/>
  <c r="Z121" i="2"/>
  <c r="AE132" i="2"/>
  <c r="U121" i="2"/>
  <c r="V121" i="2"/>
  <c r="AB124" i="2"/>
  <c r="AC124" i="2"/>
  <c r="AC146" i="2"/>
  <c r="T160" i="2"/>
  <c r="O160" i="2"/>
  <c r="J121" i="2"/>
  <c r="W124" i="2"/>
  <c r="AC121" i="2"/>
  <c r="AD121" i="2"/>
  <c r="M132" i="2"/>
  <c r="U146" i="2"/>
  <c r="L160" i="2"/>
  <c r="AE124" i="2"/>
  <c r="Q124" i="2"/>
  <c r="J124" i="2"/>
  <c r="AE146" i="2"/>
  <c r="M146" i="2"/>
  <c r="N160" i="2"/>
  <c r="AA121" i="2"/>
  <c r="R160" i="2"/>
  <c r="S140" i="2"/>
  <c r="P156" i="2"/>
  <c r="Q149" i="2"/>
  <c r="AB156" i="2"/>
  <c r="AC156" i="2"/>
  <c r="M149" i="2"/>
  <c r="Z156" i="2"/>
  <c r="Y156" i="2"/>
  <c r="AA149" i="2"/>
  <c r="AD149" i="2"/>
  <c r="AC149" i="2"/>
  <c r="Q156" i="2"/>
  <c r="V156" i="2"/>
  <c r="P149" i="2"/>
  <c r="AE156" i="2"/>
  <c r="S149" i="2"/>
  <c r="V149" i="2"/>
  <c r="M156" i="2"/>
  <c r="W156" i="2"/>
  <c r="K149" i="2"/>
  <c r="N149" i="2"/>
  <c r="AB149" i="2"/>
  <c r="J156" i="2"/>
  <c r="S121" i="2"/>
  <c r="T149" i="2"/>
  <c r="O156" i="2"/>
  <c r="L156" i="2"/>
  <c r="X140" i="2"/>
  <c r="O152" i="2"/>
  <c r="U140" i="2"/>
  <c r="Z140" i="2"/>
  <c r="AD160" i="2"/>
  <c r="AA160" i="2"/>
  <c r="V160" i="2"/>
  <c r="W152" i="2"/>
  <c r="AA152" i="2"/>
  <c r="M140" i="2"/>
  <c r="R140" i="2"/>
  <c r="AC160" i="2"/>
  <c r="S160" i="2"/>
  <c r="Z160" i="2"/>
  <c r="L121" i="2"/>
  <c r="AC140" i="2"/>
  <c r="S152" i="2"/>
  <c r="AB140" i="2"/>
  <c r="J140" i="2"/>
  <c r="U160" i="2"/>
  <c r="K160" i="2"/>
  <c r="Y160" i="2"/>
  <c r="Y140" i="2"/>
  <c r="K140" i="2"/>
  <c r="T140" i="2"/>
  <c r="AE140" i="2"/>
  <c r="AB121" i="2"/>
  <c r="K121" i="2"/>
  <c r="L140" i="2"/>
  <c r="W140" i="2"/>
  <c r="P140" i="2"/>
  <c r="AB160" i="2"/>
  <c r="J160" i="2"/>
  <c r="X121" i="2"/>
  <c r="Q121" i="2"/>
  <c r="AA140" i="2"/>
  <c r="O140" i="2"/>
  <c r="R137" i="2"/>
  <c r="AC137" i="2"/>
  <c r="O137" i="2"/>
  <c r="O124" i="2"/>
  <c r="P124" i="2"/>
  <c r="Y124" i="2"/>
  <c r="AD124" i="2"/>
  <c r="N124" i="2"/>
  <c r="V124" i="2"/>
  <c r="X124" i="2"/>
  <c r="L149" i="2"/>
  <c r="AE149" i="2"/>
  <c r="O149" i="2"/>
  <c r="U149" i="2"/>
  <c r="W149" i="2"/>
  <c r="X149" i="2"/>
  <c r="V137" i="2"/>
  <c r="O132" i="2"/>
  <c r="Q132" i="2"/>
  <c r="V132" i="2"/>
  <c r="X132" i="2"/>
  <c r="Y132" i="2"/>
  <c r="P132" i="2"/>
  <c r="AD132" i="2"/>
  <c r="N132" i="2"/>
  <c r="J137" i="2"/>
  <c r="X137" i="2"/>
  <c r="L137" i="2"/>
  <c r="AB137" i="2"/>
  <c r="P137" i="2"/>
  <c r="Q137" i="2"/>
  <c r="S137" i="2"/>
  <c r="K137" i="2"/>
  <c r="T137" i="2"/>
  <c r="Y137" i="2"/>
  <c r="AA137" i="2"/>
  <c r="AD137" i="2"/>
  <c r="K144" i="2"/>
  <c r="Q144" i="2"/>
  <c r="AC144" i="2"/>
  <c r="U144" i="2"/>
  <c r="J144" i="2"/>
  <c r="X144" i="2"/>
  <c r="L144" i="2"/>
  <c r="Y144" i="2"/>
  <c r="M144" i="2"/>
  <c r="Z144" i="2"/>
  <c r="AB144" i="2"/>
  <c r="R144" i="2"/>
  <c r="T144" i="2"/>
  <c r="P144" i="2"/>
  <c r="K146" i="2"/>
  <c r="AA146" i="2"/>
  <c r="J146" i="2"/>
  <c r="S146" i="2"/>
  <c r="M137" i="2"/>
  <c r="T152" i="2"/>
  <c r="AD152" i="2"/>
  <c r="M152" i="2"/>
  <c r="X152" i="2"/>
  <c r="N152" i="2"/>
  <c r="Y152" i="2"/>
  <c r="P152" i="2"/>
  <c r="Z152" i="2"/>
  <c r="Q152" i="2"/>
  <c r="AB152" i="2"/>
  <c r="V152" i="2"/>
  <c r="U152" i="2"/>
  <c r="AC152" i="2"/>
  <c r="J152" i="2"/>
  <c r="R152" i="2"/>
  <c r="L152" i="2"/>
  <c r="N140" i="2"/>
  <c r="V140" i="2"/>
  <c r="AD140" i="2"/>
  <c r="AE164" i="2"/>
  <c r="N120" i="2"/>
  <c r="V120" i="2"/>
  <c r="AD120" i="2"/>
  <c r="P120" i="2"/>
  <c r="X120" i="2"/>
  <c r="Q120" i="2"/>
  <c r="Y120" i="2"/>
  <c r="J120" i="2"/>
  <c r="U120" i="2"/>
  <c r="K120" i="2"/>
  <c r="W120" i="2"/>
  <c r="L120" i="2"/>
  <c r="Z120" i="2"/>
  <c r="M120" i="2"/>
  <c r="AA120" i="2"/>
  <c r="O120" i="2"/>
  <c r="AB120" i="2"/>
  <c r="R120" i="2"/>
  <c r="AC120" i="2"/>
  <c r="S120" i="2"/>
  <c r="AE120" i="2"/>
  <c r="T120" i="2"/>
  <c r="N112" i="2"/>
  <c r="V112" i="2"/>
  <c r="AD112" i="2"/>
  <c r="P112" i="2"/>
  <c r="X112" i="2"/>
  <c r="Q112" i="2"/>
  <c r="Y112" i="2"/>
  <c r="J112" i="2"/>
  <c r="R112" i="2"/>
  <c r="Z112" i="2"/>
  <c r="S112" i="2"/>
  <c r="T112" i="2"/>
  <c r="U112" i="2"/>
  <c r="W112" i="2"/>
  <c r="K112" i="2"/>
  <c r="AA112" i="2"/>
  <c r="L112" i="2"/>
  <c r="AB112" i="2"/>
  <c r="M112" i="2"/>
  <c r="AC112" i="2"/>
  <c r="O112" i="2"/>
  <c r="AE112" i="2"/>
  <c r="L159" i="2"/>
  <c r="T159" i="2"/>
  <c r="AB159" i="2"/>
  <c r="N159" i="2"/>
  <c r="W159" i="2"/>
  <c r="P159" i="2"/>
  <c r="Z159" i="2"/>
  <c r="V159" i="2"/>
  <c r="O159" i="2"/>
  <c r="X159" i="2"/>
  <c r="AE159" i="2"/>
  <c r="Y159" i="2"/>
  <c r="Q159" i="2"/>
  <c r="R159" i="2"/>
  <c r="AA159" i="2"/>
  <c r="J159" i="2"/>
  <c r="S159" i="2"/>
  <c r="AC159" i="2"/>
  <c r="K159" i="2"/>
  <c r="U159" i="2"/>
  <c r="AD159" i="2"/>
  <c r="M159" i="2"/>
  <c r="Z164" i="2"/>
  <c r="P139" i="2"/>
  <c r="X139" i="2"/>
  <c r="K139" i="2"/>
  <c r="S139" i="2"/>
  <c r="AA139" i="2"/>
  <c r="L139" i="2"/>
  <c r="T139" i="2"/>
  <c r="AB139" i="2"/>
  <c r="M139" i="2"/>
  <c r="U139" i="2"/>
  <c r="AC139" i="2"/>
  <c r="N139" i="2"/>
  <c r="V139" i="2"/>
  <c r="AD139" i="2"/>
  <c r="Z139" i="2"/>
  <c r="AE139" i="2"/>
  <c r="J139" i="2"/>
  <c r="O139" i="2"/>
  <c r="Q139" i="2"/>
  <c r="R139" i="2"/>
  <c r="W139" i="2"/>
  <c r="Y139" i="2"/>
  <c r="M142" i="2"/>
  <c r="U142" i="2"/>
  <c r="AC142" i="2"/>
  <c r="P142" i="2"/>
  <c r="X142" i="2"/>
  <c r="Q142" i="2"/>
  <c r="Y142" i="2"/>
  <c r="J142" i="2"/>
  <c r="R142" i="2"/>
  <c r="Z142" i="2"/>
  <c r="K142" i="2"/>
  <c r="S142" i="2"/>
  <c r="AA142" i="2"/>
  <c r="T142" i="2"/>
  <c r="V142" i="2"/>
  <c r="O142" i="2"/>
  <c r="W142" i="2"/>
  <c r="AB142" i="2"/>
  <c r="AD142" i="2"/>
  <c r="L142" i="2"/>
  <c r="AE142" i="2"/>
  <c r="N142" i="2"/>
  <c r="R164" i="2"/>
  <c r="Q45" i="2"/>
  <c r="Y45" i="2"/>
  <c r="L45" i="2"/>
  <c r="T45" i="2"/>
  <c r="AB45" i="2"/>
  <c r="N45" i="2"/>
  <c r="V45" i="2"/>
  <c r="AD45" i="2"/>
  <c r="K45" i="2"/>
  <c r="X45" i="2"/>
  <c r="M45" i="2"/>
  <c r="Z45" i="2"/>
  <c r="O45" i="2"/>
  <c r="AA45" i="2"/>
  <c r="P45" i="2"/>
  <c r="AC45" i="2"/>
  <c r="R45" i="2"/>
  <c r="AE45" i="2"/>
  <c r="S45" i="2"/>
  <c r="U45" i="2"/>
  <c r="J45" i="2"/>
  <c r="W45" i="2"/>
  <c r="P118" i="2"/>
  <c r="X118" i="2"/>
  <c r="J118" i="2"/>
  <c r="R118" i="2"/>
  <c r="Z118" i="2"/>
  <c r="K118" i="2"/>
  <c r="S118" i="2"/>
  <c r="AA118" i="2"/>
  <c r="U118" i="2"/>
  <c r="V118" i="2"/>
  <c r="L118" i="2"/>
  <c r="W118" i="2"/>
  <c r="M118" i="2"/>
  <c r="Y118" i="2"/>
  <c r="N118" i="2"/>
  <c r="AB118" i="2"/>
  <c r="O118" i="2"/>
  <c r="AC118" i="2"/>
  <c r="Q118" i="2"/>
  <c r="AD118" i="2"/>
  <c r="AE118" i="2"/>
  <c r="T118" i="2"/>
  <c r="P155" i="2"/>
  <c r="X155" i="2"/>
  <c r="L155" i="2"/>
  <c r="T155" i="2"/>
  <c r="AB155" i="2"/>
  <c r="S155" i="2"/>
  <c r="AD155" i="2"/>
  <c r="J155" i="2"/>
  <c r="U155" i="2"/>
  <c r="AE155" i="2"/>
  <c r="R155" i="2"/>
  <c r="K155" i="2"/>
  <c r="V155" i="2"/>
  <c r="M155" i="2"/>
  <c r="W155" i="2"/>
  <c r="N155" i="2"/>
  <c r="Y155" i="2"/>
  <c r="O155" i="2"/>
  <c r="Z155" i="2"/>
  <c r="Q155" i="2"/>
  <c r="AA155" i="2"/>
  <c r="AC155" i="2"/>
  <c r="J116" i="2"/>
  <c r="R116" i="2"/>
  <c r="Z116" i="2"/>
  <c r="L116" i="2"/>
  <c r="T116" i="2"/>
  <c r="AB116" i="2"/>
  <c r="M116" i="2"/>
  <c r="U116" i="2"/>
  <c r="AC116" i="2"/>
  <c r="S116" i="2"/>
  <c r="V116" i="2"/>
  <c r="W116" i="2"/>
  <c r="K116" i="2"/>
  <c r="X116" i="2"/>
  <c r="N116" i="2"/>
  <c r="Y116" i="2"/>
  <c r="O116" i="2"/>
  <c r="AA116" i="2"/>
  <c r="P116" i="2"/>
  <c r="AD116" i="2"/>
  <c r="Q116" i="2"/>
  <c r="AE116" i="2"/>
  <c r="P147" i="2"/>
  <c r="X147" i="2"/>
  <c r="K147" i="2"/>
  <c r="S147" i="2"/>
  <c r="AA147" i="2"/>
  <c r="L147" i="2"/>
  <c r="T147" i="2"/>
  <c r="AB147" i="2"/>
  <c r="M147" i="2"/>
  <c r="U147" i="2"/>
  <c r="AC147" i="2"/>
  <c r="R147" i="2"/>
  <c r="V147" i="2"/>
  <c r="W147" i="2"/>
  <c r="Y147" i="2"/>
  <c r="J147" i="2"/>
  <c r="Z147" i="2"/>
  <c r="N147" i="2"/>
  <c r="AD147" i="2"/>
  <c r="Q147" i="2"/>
  <c r="O147" i="2"/>
  <c r="AE147" i="2"/>
  <c r="K115" i="2"/>
  <c r="S115" i="2"/>
  <c r="AA115" i="2"/>
  <c r="M115" i="2"/>
  <c r="U115" i="2"/>
  <c r="AC115" i="2"/>
  <c r="N115" i="2"/>
  <c r="V115" i="2"/>
  <c r="AD115" i="2"/>
  <c r="Q115" i="2"/>
  <c r="AE115" i="2"/>
  <c r="R115" i="2"/>
  <c r="T115" i="2"/>
  <c r="W115" i="2"/>
  <c r="J115" i="2"/>
  <c r="X115" i="2"/>
  <c r="L115" i="2"/>
  <c r="Y115" i="2"/>
  <c r="O115" i="2"/>
  <c r="Z115" i="2"/>
  <c r="P115" i="2"/>
  <c r="AB115" i="2"/>
  <c r="Q109" i="2"/>
  <c r="Y109" i="2"/>
  <c r="K109" i="2"/>
  <c r="S109" i="2"/>
  <c r="AA109" i="2"/>
  <c r="L109" i="2"/>
  <c r="T109" i="2"/>
  <c r="AB109" i="2"/>
  <c r="M109" i="2"/>
  <c r="U109" i="2"/>
  <c r="AC109" i="2"/>
  <c r="N109" i="2"/>
  <c r="AD109" i="2"/>
  <c r="O109" i="2"/>
  <c r="AE109" i="2"/>
  <c r="P109" i="2"/>
  <c r="R109" i="2"/>
  <c r="V109" i="2"/>
  <c r="W109" i="2"/>
  <c r="X109" i="2"/>
  <c r="J109" i="2"/>
  <c r="Z109" i="2"/>
  <c r="M134" i="2"/>
  <c r="U134" i="2"/>
  <c r="AC134" i="2"/>
  <c r="P134" i="2"/>
  <c r="X134" i="2"/>
  <c r="Q134" i="2"/>
  <c r="Y134" i="2"/>
  <c r="J134" i="2"/>
  <c r="R134" i="2"/>
  <c r="Z134" i="2"/>
  <c r="K134" i="2"/>
  <c r="S134" i="2"/>
  <c r="AA134" i="2"/>
  <c r="W134" i="2"/>
  <c r="AB134" i="2"/>
  <c r="AD134" i="2"/>
  <c r="L134" i="2"/>
  <c r="AE134" i="2"/>
  <c r="N134" i="2"/>
  <c r="O134" i="2"/>
  <c r="V134" i="2"/>
  <c r="T134" i="2"/>
  <c r="P20" i="2"/>
  <c r="X20" i="2"/>
  <c r="K20" i="2"/>
  <c r="S20" i="2"/>
  <c r="AA20" i="2"/>
  <c r="L20" i="2"/>
  <c r="T20" i="2"/>
  <c r="AB20" i="2"/>
  <c r="M20" i="2"/>
  <c r="U20" i="2"/>
  <c r="AC20" i="2"/>
  <c r="N20" i="2"/>
  <c r="V20" i="2"/>
  <c r="AD20" i="2"/>
  <c r="AE20" i="2"/>
  <c r="J20" i="2"/>
  <c r="O20" i="2"/>
  <c r="Q20" i="2"/>
  <c r="R20" i="2"/>
  <c r="W20" i="2"/>
  <c r="Y20" i="2"/>
  <c r="Z20" i="2"/>
  <c r="P123" i="2"/>
  <c r="X123" i="2"/>
  <c r="Q123" i="2"/>
  <c r="Y123" i="2"/>
  <c r="J123" i="2"/>
  <c r="R123" i="2"/>
  <c r="Z123" i="2"/>
  <c r="K123" i="2"/>
  <c r="S123" i="2"/>
  <c r="AA123" i="2"/>
  <c r="L123" i="2"/>
  <c r="T123" i="2"/>
  <c r="AB123" i="2"/>
  <c r="M123" i="2"/>
  <c r="U123" i="2"/>
  <c r="AC123" i="2"/>
  <c r="N123" i="2"/>
  <c r="V123" i="2"/>
  <c r="AD123" i="2"/>
  <c r="W123" i="2"/>
  <c r="AE123" i="2"/>
  <c r="O123" i="2"/>
  <c r="Q117" i="2"/>
  <c r="Y117" i="2"/>
  <c r="K117" i="2"/>
  <c r="S117" i="2"/>
  <c r="AA117" i="2"/>
  <c r="L117" i="2"/>
  <c r="T117" i="2"/>
  <c r="AB117" i="2"/>
  <c r="U117" i="2"/>
  <c r="V117" i="2"/>
  <c r="J117" i="2"/>
  <c r="W117" i="2"/>
  <c r="M117" i="2"/>
  <c r="X117" i="2"/>
  <c r="N117" i="2"/>
  <c r="Z117" i="2"/>
  <c r="O117" i="2"/>
  <c r="AC117" i="2"/>
  <c r="P117" i="2"/>
  <c r="AD117" i="2"/>
  <c r="R117" i="2"/>
  <c r="AE117" i="2"/>
  <c r="P110" i="2"/>
  <c r="X110" i="2"/>
  <c r="J110" i="2"/>
  <c r="R110" i="2"/>
  <c r="Z110" i="2"/>
  <c r="K110" i="2"/>
  <c r="S110" i="2"/>
  <c r="AA110" i="2"/>
  <c r="L110" i="2"/>
  <c r="T110" i="2"/>
  <c r="AB110" i="2"/>
  <c r="U110" i="2"/>
  <c r="V110" i="2"/>
  <c r="W110" i="2"/>
  <c r="Y110" i="2"/>
  <c r="M110" i="2"/>
  <c r="AC110" i="2"/>
  <c r="N110" i="2"/>
  <c r="AD110" i="2"/>
  <c r="O110" i="2"/>
  <c r="AE110" i="2"/>
  <c r="Q110" i="2"/>
  <c r="P131" i="2"/>
  <c r="X131" i="2"/>
  <c r="Q131" i="2"/>
  <c r="Y131" i="2"/>
  <c r="J131" i="2"/>
  <c r="R131" i="2"/>
  <c r="Z131" i="2"/>
  <c r="K131" i="2"/>
  <c r="S131" i="2"/>
  <c r="AA131" i="2"/>
  <c r="L131" i="2"/>
  <c r="T131" i="2"/>
  <c r="AB131" i="2"/>
  <c r="M131" i="2"/>
  <c r="U131" i="2"/>
  <c r="AC131" i="2"/>
  <c r="N131" i="2"/>
  <c r="V131" i="2"/>
  <c r="AD131" i="2"/>
  <c r="AE131" i="2"/>
  <c r="W131" i="2"/>
  <c r="O131" i="2"/>
  <c r="M150" i="2"/>
  <c r="U150" i="2"/>
  <c r="AC150" i="2"/>
  <c r="P150" i="2"/>
  <c r="X150" i="2"/>
  <c r="Q150" i="2"/>
  <c r="Y150" i="2"/>
  <c r="J150" i="2"/>
  <c r="R150" i="2"/>
  <c r="Z150" i="2"/>
  <c r="K150" i="2"/>
  <c r="AA150" i="2"/>
  <c r="L150" i="2"/>
  <c r="AB150" i="2"/>
  <c r="N150" i="2"/>
  <c r="AD150" i="2"/>
  <c r="O150" i="2"/>
  <c r="AE150" i="2"/>
  <c r="S150" i="2"/>
  <c r="W150" i="2"/>
  <c r="T150" i="2"/>
  <c r="V150" i="2"/>
  <c r="H25" i="19"/>
  <c r="H24" i="19"/>
  <c r="D25" i="19"/>
  <c r="D24" i="19"/>
  <c r="F25" i="19"/>
  <c r="F24" i="19"/>
  <c r="L164" i="2"/>
  <c r="P164" i="2"/>
  <c r="T164" i="2"/>
  <c r="X164" i="2"/>
  <c r="AB164" i="2"/>
  <c r="M164" i="2"/>
  <c r="Q164" i="2"/>
  <c r="U164" i="2"/>
  <c r="Y164" i="2"/>
  <c r="AD164" i="2"/>
  <c r="W164" i="2"/>
  <c r="O164" i="2"/>
  <c r="AC164" i="2"/>
  <c r="V164" i="2"/>
  <c r="N164" i="2"/>
  <c r="AA164" i="2"/>
  <c r="S164" i="2"/>
  <c r="K164" i="2"/>
  <c r="H5" i="19"/>
  <c r="H13" i="19"/>
  <c r="H21" i="19"/>
  <c r="H6" i="19"/>
  <c r="H14" i="19"/>
  <c r="H22" i="19"/>
  <c r="H7" i="19"/>
  <c r="H15" i="19"/>
  <c r="H23" i="19"/>
  <c r="H8" i="19"/>
  <c r="H16" i="19"/>
  <c r="H26" i="19"/>
  <c r="H9" i="19"/>
  <c r="H17" i="19"/>
  <c r="H27" i="19"/>
  <c r="H10" i="19"/>
  <c r="H18" i="19"/>
  <c r="H28" i="19"/>
  <c r="H20" i="19"/>
  <c r="H30" i="19"/>
  <c r="H11" i="19"/>
  <c r="H19" i="19"/>
  <c r="H29" i="19"/>
  <c r="H12" i="19"/>
  <c r="F6" i="19"/>
  <c r="F14" i="19"/>
  <c r="F22" i="19"/>
  <c r="F7" i="19"/>
  <c r="F15" i="19"/>
  <c r="F23" i="19"/>
  <c r="F8" i="19"/>
  <c r="F16" i="19"/>
  <c r="F26" i="19"/>
  <c r="F9" i="19"/>
  <c r="F17" i="19"/>
  <c r="F27" i="19"/>
  <c r="F10" i="19"/>
  <c r="F18" i="19"/>
  <c r="F28" i="19"/>
  <c r="F11" i="19"/>
  <c r="F19" i="19"/>
  <c r="F29" i="19"/>
  <c r="F12" i="19"/>
  <c r="F20" i="19"/>
  <c r="F30" i="19"/>
  <c r="F13" i="19"/>
  <c r="F21" i="19"/>
  <c r="F5" i="19"/>
  <c r="D6" i="19"/>
  <c r="D14" i="19"/>
  <c r="D22" i="19"/>
  <c r="D7" i="19"/>
  <c r="D15" i="19"/>
  <c r="D23" i="19"/>
  <c r="D8" i="19"/>
  <c r="D16" i="19"/>
  <c r="D26" i="19"/>
  <c r="D9" i="19"/>
  <c r="D17" i="19"/>
  <c r="D27" i="19"/>
  <c r="D10" i="19"/>
  <c r="D18" i="19"/>
  <c r="D28" i="19"/>
  <c r="D11" i="19"/>
  <c r="D19" i="19"/>
  <c r="D29" i="19"/>
  <c r="D12" i="19"/>
  <c r="D20" i="19"/>
  <c r="D30" i="19"/>
  <c r="D13" i="19"/>
  <c r="D21" i="19"/>
  <c r="D5" i="19"/>
  <c r="AG20" i="2" l="1"/>
  <c r="AG24" i="2"/>
  <c r="AG30" i="2"/>
  <c r="AG34" i="2"/>
  <c r="AG38" i="2"/>
  <c r="AG42" i="2"/>
  <c r="AG46" i="2"/>
  <c r="AG51" i="2"/>
  <c r="AG55" i="2"/>
  <c r="AG59" i="2"/>
  <c r="AG63" i="2"/>
  <c r="AG68" i="2"/>
  <c r="AG72" i="2"/>
  <c r="AG76" i="2"/>
  <c r="AG80" i="2"/>
  <c r="AG84" i="2"/>
  <c r="AG89" i="2"/>
  <c r="AJ91" i="2"/>
  <c r="AJ95" i="2"/>
  <c r="AJ99" i="2"/>
  <c r="AJ104" i="2"/>
  <c r="AJ21" i="2"/>
  <c r="AJ26" i="2"/>
  <c r="AJ31" i="2"/>
  <c r="AJ35" i="2"/>
  <c r="AJ39" i="2"/>
  <c r="AJ43" i="2"/>
  <c r="AJ48" i="2"/>
  <c r="AJ52" i="2"/>
  <c r="AJ56" i="2"/>
  <c r="AJ60" i="2"/>
  <c r="AJ64" i="2"/>
  <c r="AJ69" i="2"/>
  <c r="AJ73" i="2"/>
  <c r="AG23" i="2"/>
  <c r="AG29" i="2"/>
  <c r="AG33" i="2"/>
  <c r="AG37" i="2"/>
  <c r="AG41" i="2"/>
  <c r="AG45" i="2"/>
  <c r="AG50" i="2"/>
  <c r="AG54" i="2"/>
  <c r="AG58" i="2"/>
  <c r="AG62" i="2"/>
  <c r="AG66" i="2"/>
  <c r="AG71" i="2"/>
  <c r="AG75" i="2"/>
  <c r="AJ20" i="2"/>
  <c r="AJ24" i="2"/>
  <c r="AJ30" i="2"/>
  <c r="AJ34" i="2"/>
  <c r="AJ38" i="2"/>
  <c r="AJ42" i="2"/>
  <c r="AJ46" i="2"/>
  <c r="AJ51" i="2"/>
  <c r="AJ55" i="2"/>
  <c r="AJ59" i="2"/>
  <c r="AJ63" i="2"/>
  <c r="AJ68" i="2"/>
  <c r="AJ72" i="2"/>
  <c r="AJ76" i="2"/>
  <c r="AJ80" i="2"/>
  <c r="AJ84" i="2"/>
  <c r="AJ89" i="2"/>
  <c r="AG92" i="2"/>
  <c r="AG96" i="2"/>
  <c r="AG100" i="2"/>
  <c r="AG105" i="2"/>
  <c r="AG22" i="2"/>
  <c r="AG28" i="2"/>
  <c r="AG32" i="2"/>
  <c r="AG36" i="2"/>
  <c r="AG40" i="2"/>
  <c r="AG44" i="2"/>
  <c r="AG49" i="2"/>
  <c r="AG53" i="2"/>
  <c r="AG57" i="2"/>
  <c r="AG61" i="2"/>
  <c r="AG65" i="2"/>
  <c r="AG70" i="2"/>
  <c r="AG74" i="2"/>
  <c r="AG78" i="2"/>
  <c r="AG82" i="2"/>
  <c r="AG86" i="2"/>
  <c r="AJ93" i="2"/>
  <c r="AJ97" i="2"/>
  <c r="AJ101" i="2"/>
  <c r="AJ23" i="2"/>
  <c r="AJ29" i="2"/>
  <c r="AJ33" i="2"/>
  <c r="AJ37" i="2"/>
  <c r="AJ41" i="2"/>
  <c r="AJ45" i="2"/>
  <c r="AJ50" i="2"/>
  <c r="AJ54" i="2"/>
  <c r="AJ58" i="2"/>
  <c r="AJ62" i="2"/>
  <c r="AJ66" i="2"/>
  <c r="AJ71" i="2"/>
  <c r="AJ75" i="2"/>
  <c r="AJ79" i="2"/>
  <c r="AJ83" i="2"/>
  <c r="AJ87" i="2"/>
  <c r="AG91" i="2"/>
  <c r="AG95" i="2"/>
  <c r="AG99" i="2"/>
  <c r="AG104" i="2"/>
  <c r="AG21" i="2"/>
  <c r="AG26" i="2"/>
  <c r="AG31" i="2"/>
  <c r="AG35" i="2"/>
  <c r="AG39" i="2"/>
  <c r="AG43" i="2"/>
  <c r="AG48" i="2"/>
  <c r="AG52" i="2"/>
  <c r="AG56" i="2"/>
  <c r="AG60" i="2"/>
  <c r="AG64" i="2"/>
  <c r="AG69" i="2"/>
  <c r="AG73" i="2"/>
  <c r="AG77" i="2"/>
  <c r="AG81" i="2"/>
  <c r="AG85" i="2"/>
  <c r="AG90" i="2"/>
  <c r="AJ92" i="2"/>
  <c r="AJ96" i="2"/>
  <c r="AJ100" i="2"/>
  <c r="AJ105" i="2"/>
  <c r="AJ28" i="2"/>
  <c r="AJ44" i="2"/>
  <c r="AJ61" i="2"/>
  <c r="AJ94" i="2"/>
  <c r="AG97" i="2"/>
  <c r="AJ18" i="2"/>
  <c r="AJ82" i="2"/>
  <c r="AG87" i="2"/>
  <c r="AJ90" i="2"/>
  <c r="AJ77" i="2"/>
  <c r="AJ32" i="2"/>
  <c r="AJ49" i="2"/>
  <c r="AJ65" i="2"/>
  <c r="AG93" i="2"/>
  <c r="AG102" i="2"/>
  <c r="AJ78" i="2"/>
  <c r="AG83" i="2"/>
  <c r="AJ85" i="2"/>
  <c r="AG101" i="2"/>
  <c r="AJ86" i="2"/>
  <c r="AJ36" i="2"/>
  <c r="AJ53" i="2"/>
  <c r="AJ70" i="2"/>
  <c r="AG98" i="2"/>
  <c r="AJ102" i="2"/>
  <c r="AG94" i="2"/>
  <c r="AJ98" i="2"/>
  <c r="AG79" i="2"/>
  <c r="AJ81" i="2"/>
  <c r="AG18" i="2"/>
  <c r="AJ22" i="2"/>
  <c r="AJ40" i="2"/>
  <c r="AM40" i="2" s="1"/>
  <c r="AN40" i="2" s="1"/>
  <c r="AJ57" i="2"/>
  <c r="AJ74" i="2"/>
  <c r="AK22" i="2"/>
  <c r="AK28" i="2"/>
  <c r="AK32" i="2"/>
  <c r="AK36" i="2"/>
  <c r="AK40" i="2"/>
  <c r="AK44" i="2"/>
  <c r="AK49" i="2"/>
  <c r="AK53" i="2"/>
  <c r="AK57" i="2"/>
  <c r="AK61" i="2"/>
  <c r="AK65" i="2"/>
  <c r="AK70" i="2"/>
  <c r="AK74" i="2"/>
  <c r="AK78" i="2"/>
  <c r="AK82" i="2"/>
  <c r="AK86" i="2"/>
  <c r="AH94" i="2"/>
  <c r="AH98" i="2"/>
  <c r="AH102" i="2"/>
  <c r="AH20" i="2"/>
  <c r="AH24" i="2"/>
  <c r="AH30" i="2"/>
  <c r="AH34" i="2"/>
  <c r="AH38" i="2"/>
  <c r="AH42" i="2"/>
  <c r="AH46" i="2"/>
  <c r="AH51" i="2"/>
  <c r="AH55" i="2"/>
  <c r="AH59" i="2"/>
  <c r="AH63" i="2"/>
  <c r="AH68" i="2"/>
  <c r="AH72" i="2"/>
  <c r="AK21" i="2"/>
  <c r="AK26" i="2"/>
  <c r="AK31" i="2"/>
  <c r="AK35" i="2"/>
  <c r="AK39" i="2"/>
  <c r="AK43" i="2"/>
  <c r="AK48" i="2"/>
  <c r="AK52" i="2"/>
  <c r="AK56" i="2"/>
  <c r="AK60" i="2"/>
  <c r="AK64" i="2"/>
  <c r="AK69" i="2"/>
  <c r="AK73" i="2"/>
  <c r="AH23" i="2"/>
  <c r="AH29" i="2"/>
  <c r="AH33" i="2"/>
  <c r="AH37" i="2"/>
  <c r="AH41" i="2"/>
  <c r="AH45" i="2"/>
  <c r="AH50" i="2"/>
  <c r="AH54" i="2"/>
  <c r="AH58" i="2"/>
  <c r="AH62" i="2"/>
  <c r="AH66" i="2"/>
  <c r="AH71" i="2"/>
  <c r="AH75" i="2"/>
  <c r="AH79" i="2"/>
  <c r="AH83" i="2"/>
  <c r="AH87" i="2"/>
  <c r="AK94" i="2"/>
  <c r="AK98" i="2"/>
  <c r="AK102" i="2"/>
  <c r="AK20" i="2"/>
  <c r="AK24" i="2"/>
  <c r="AK30" i="2"/>
  <c r="AK34" i="2"/>
  <c r="AK38" i="2"/>
  <c r="AK42" i="2"/>
  <c r="AK46" i="2"/>
  <c r="AK51" i="2"/>
  <c r="AK55" i="2"/>
  <c r="AK59" i="2"/>
  <c r="AK63" i="2"/>
  <c r="AK68" i="2"/>
  <c r="AK72" i="2"/>
  <c r="AK76" i="2"/>
  <c r="AK80" i="2"/>
  <c r="AK84" i="2"/>
  <c r="AK89" i="2"/>
  <c r="AH92" i="2"/>
  <c r="AH96" i="2"/>
  <c r="AH100" i="2"/>
  <c r="AH105" i="2"/>
  <c r="AH22" i="2"/>
  <c r="AH28" i="2"/>
  <c r="AH32" i="2"/>
  <c r="AH36" i="2"/>
  <c r="AH40" i="2"/>
  <c r="AH44" i="2"/>
  <c r="AH49" i="2"/>
  <c r="AH53" i="2"/>
  <c r="AH57" i="2"/>
  <c r="AH61" i="2"/>
  <c r="AH65" i="2"/>
  <c r="AH70" i="2"/>
  <c r="AH74" i="2"/>
  <c r="AH78" i="2"/>
  <c r="AH82" i="2"/>
  <c r="AH86" i="2"/>
  <c r="AK93" i="2"/>
  <c r="AK97" i="2"/>
  <c r="AK101" i="2"/>
  <c r="AK23" i="2"/>
  <c r="AK29" i="2"/>
  <c r="AK33" i="2"/>
  <c r="AK37" i="2"/>
  <c r="AK41" i="2"/>
  <c r="AK45" i="2"/>
  <c r="AK50" i="2"/>
  <c r="AK54" i="2"/>
  <c r="AK58" i="2"/>
  <c r="AK62" i="2"/>
  <c r="AK66" i="2"/>
  <c r="AK71" i="2"/>
  <c r="AK75" i="2"/>
  <c r="AK79" i="2"/>
  <c r="AK83" i="2"/>
  <c r="AK87" i="2"/>
  <c r="AH91" i="2"/>
  <c r="AH95" i="2"/>
  <c r="AH99" i="2"/>
  <c r="AH104" i="2"/>
  <c r="AH35" i="2"/>
  <c r="AH52" i="2"/>
  <c r="AH69" i="2"/>
  <c r="AK77" i="2"/>
  <c r="AH80" i="2"/>
  <c r="AK92" i="2"/>
  <c r="AH84" i="2"/>
  <c r="AH90" i="2"/>
  <c r="AH85" i="2"/>
  <c r="AH97" i="2"/>
  <c r="AK99" i="2"/>
  <c r="AK18" i="2"/>
  <c r="AH21" i="2"/>
  <c r="AH39" i="2"/>
  <c r="AH56" i="2"/>
  <c r="AH73" i="2"/>
  <c r="AH76" i="2"/>
  <c r="AK90" i="2"/>
  <c r="AK105" i="2"/>
  <c r="AH81" i="2"/>
  <c r="AH93" i="2"/>
  <c r="AK95" i="2"/>
  <c r="AH26" i="2"/>
  <c r="AH43" i="2"/>
  <c r="AH60" i="2"/>
  <c r="AK85" i="2"/>
  <c r="AH89" i="2"/>
  <c r="AK100" i="2"/>
  <c r="AK81" i="2"/>
  <c r="AH18" i="2"/>
  <c r="AH101" i="2"/>
  <c r="AH77" i="2"/>
  <c r="AK91" i="2"/>
  <c r="AH31" i="2"/>
  <c r="AH48" i="2"/>
  <c r="AH64" i="2"/>
  <c r="AK96" i="2"/>
  <c r="AK104" i="2"/>
  <c r="L66" i="2"/>
  <c r="J66" i="2"/>
  <c r="X66" i="2"/>
  <c r="K66" i="2"/>
  <c r="Y66" i="2"/>
  <c r="S66" i="2"/>
  <c r="M66" i="2"/>
  <c r="Z66" i="2"/>
  <c r="P66" i="2"/>
  <c r="AA66" i="2"/>
  <c r="Q66" i="2"/>
  <c r="AC66" i="2"/>
  <c r="R66" i="2"/>
  <c r="U66" i="2"/>
  <c r="N66" i="2"/>
  <c r="AE66" i="2"/>
  <c r="W66" i="2"/>
  <c r="O66" i="2"/>
  <c r="AD66" i="2"/>
  <c r="T66" i="2"/>
  <c r="AB66" i="2"/>
  <c r="V66" i="2"/>
  <c r="J46" i="2"/>
  <c r="K46" i="2"/>
  <c r="N46" i="2"/>
  <c r="R46" i="2"/>
  <c r="S46" i="2"/>
  <c r="X46" i="2"/>
  <c r="AD46" i="2"/>
  <c r="AA46" i="2"/>
  <c r="O46" i="2"/>
  <c r="T46" i="2"/>
  <c r="U46" i="2"/>
  <c r="P46" i="2"/>
  <c r="V46" i="2"/>
  <c r="M46" i="2"/>
  <c r="AE46" i="2"/>
  <c r="AB46" i="2"/>
  <c r="AC46" i="2"/>
  <c r="L46" i="2"/>
  <c r="W46" i="2"/>
  <c r="Z46" i="2"/>
  <c r="Y46" i="2"/>
  <c r="Q46" i="2"/>
  <c r="P87" i="2"/>
  <c r="M87" i="2"/>
  <c r="AA87" i="2"/>
  <c r="J87" i="2"/>
  <c r="O87" i="2"/>
  <c r="AC87" i="2"/>
  <c r="R87" i="2"/>
  <c r="AD87" i="2"/>
  <c r="U87" i="2"/>
  <c r="S87" i="2"/>
  <c r="V87" i="2"/>
  <c r="X87" i="2"/>
  <c r="Z87" i="2"/>
  <c r="L87" i="2"/>
  <c r="W87" i="2"/>
  <c r="N87" i="2"/>
  <c r="T87" i="2"/>
  <c r="AB87" i="2"/>
  <c r="K87" i="2"/>
  <c r="Y87" i="2"/>
  <c r="Q87" i="2"/>
  <c r="AE87" i="2"/>
  <c r="AM58" i="2" l="1"/>
  <c r="AN58" i="2" s="1"/>
  <c r="H58" i="2" s="1"/>
  <c r="AM23" i="2"/>
  <c r="AN23" i="2" s="1"/>
  <c r="AO23" i="2" s="1"/>
  <c r="I23" i="2" s="1"/>
  <c r="AM89" i="2"/>
  <c r="AN89" i="2" s="1"/>
  <c r="H89" i="2" s="1"/>
  <c r="AM55" i="2"/>
  <c r="AN55" i="2" s="1"/>
  <c r="H55" i="2" s="1"/>
  <c r="AM20" i="2"/>
  <c r="AN20" i="2" s="1"/>
  <c r="AO20" i="2" s="1"/>
  <c r="AM64" i="2"/>
  <c r="AN64" i="2" s="1"/>
  <c r="H64" i="2" s="1"/>
  <c r="AM31" i="2"/>
  <c r="AN31" i="2" s="1"/>
  <c r="AM70" i="2"/>
  <c r="AN70" i="2" s="1"/>
  <c r="AO70" i="2" s="1"/>
  <c r="AM82" i="2"/>
  <c r="AN82" i="2" s="1"/>
  <c r="AO82" i="2" s="1"/>
  <c r="AM100" i="2"/>
  <c r="AN100" i="2" s="1"/>
  <c r="AM87" i="2"/>
  <c r="AN87" i="2" s="1"/>
  <c r="AO87" i="2" s="1"/>
  <c r="AM54" i="2"/>
  <c r="AN54" i="2" s="1"/>
  <c r="H54" i="2" s="1"/>
  <c r="AM101" i="2"/>
  <c r="AN101" i="2" s="1"/>
  <c r="AO101" i="2" s="1"/>
  <c r="I101" i="2" s="1"/>
  <c r="AM84" i="2"/>
  <c r="AN84" i="2" s="1"/>
  <c r="AO84" i="2" s="1"/>
  <c r="AM51" i="2"/>
  <c r="AN51" i="2" s="1"/>
  <c r="AO51" i="2" s="1"/>
  <c r="I51" i="2" s="1"/>
  <c r="AM26" i="2"/>
  <c r="AN26" i="2" s="1"/>
  <c r="H26" i="2" s="1"/>
  <c r="AM98" i="2"/>
  <c r="AN98" i="2" s="1"/>
  <c r="H98" i="2" s="1"/>
  <c r="AM32" i="2"/>
  <c r="AN32" i="2" s="1"/>
  <c r="H32" i="2" s="1"/>
  <c r="AM63" i="2"/>
  <c r="AN63" i="2" s="1"/>
  <c r="H63" i="2" s="1"/>
  <c r="AM105" i="2"/>
  <c r="AN105" i="2" s="1"/>
  <c r="AO105" i="2" s="1"/>
  <c r="I105" i="2" s="1"/>
  <c r="AM22" i="2"/>
  <c r="AN22" i="2" s="1"/>
  <c r="AM86" i="2"/>
  <c r="AN86" i="2" s="1"/>
  <c r="AO86" i="2" s="1"/>
  <c r="AM49" i="2"/>
  <c r="AN49" i="2" s="1"/>
  <c r="AO49" i="2" s="1"/>
  <c r="I49" i="2" s="1"/>
  <c r="AM48" i="2"/>
  <c r="AN48" i="2" s="1"/>
  <c r="AO48" i="2" s="1"/>
  <c r="I48" i="2" s="1"/>
  <c r="AM99" i="2"/>
  <c r="AN99" i="2" s="1"/>
  <c r="H99" i="2" s="1"/>
  <c r="H100" i="2"/>
  <c r="AO100" i="2"/>
  <c r="I100" i="2" s="1"/>
  <c r="H101" i="2"/>
  <c r="H40" i="2"/>
  <c r="AO40" i="2"/>
  <c r="I40" i="2" s="1"/>
  <c r="H22" i="2"/>
  <c r="AO22" i="2"/>
  <c r="I22" i="2" s="1"/>
  <c r="H82" i="2"/>
  <c r="AM78" i="2"/>
  <c r="AN78" i="2" s="1"/>
  <c r="H23" i="2"/>
  <c r="H31" i="2"/>
  <c r="AO31" i="2"/>
  <c r="I31" i="2" s="1"/>
  <c r="H70" i="2"/>
  <c r="AM94" i="2"/>
  <c r="AN94" i="2" s="1"/>
  <c r="AM75" i="2"/>
  <c r="AN75" i="2" s="1"/>
  <c r="AM41" i="2"/>
  <c r="AN41" i="2" s="1"/>
  <c r="AM72" i="2"/>
  <c r="AN72" i="2" s="1"/>
  <c r="AM38" i="2"/>
  <c r="AN38" i="2" s="1"/>
  <c r="AM60" i="2"/>
  <c r="AN60" i="2" s="1"/>
  <c r="AM53" i="2"/>
  <c r="AN53" i="2" s="1"/>
  <c r="AM18" i="2"/>
  <c r="AN18" i="2" s="1"/>
  <c r="AO18" i="2" s="1"/>
  <c r="AM96" i="2"/>
  <c r="AN96" i="2" s="1"/>
  <c r="AM83" i="2"/>
  <c r="AN83" i="2" s="1"/>
  <c r="AM50" i="2"/>
  <c r="AN50" i="2" s="1"/>
  <c r="AM97" i="2"/>
  <c r="AN97" i="2" s="1"/>
  <c r="AM80" i="2"/>
  <c r="AN80" i="2" s="1"/>
  <c r="AM46" i="2"/>
  <c r="AN46" i="2" s="1"/>
  <c r="AO46" i="2" s="1"/>
  <c r="AM56" i="2"/>
  <c r="AN56" i="2" s="1"/>
  <c r="AM21" i="2"/>
  <c r="AN21" i="2" s="1"/>
  <c r="AM81" i="2"/>
  <c r="AN81" i="2" s="1"/>
  <c r="AM36" i="2"/>
  <c r="AN36" i="2" s="1"/>
  <c r="AM65" i="2"/>
  <c r="AN65" i="2" s="1"/>
  <c r="AM92" i="2"/>
  <c r="AN92" i="2" s="1"/>
  <c r="AM79" i="2"/>
  <c r="AN79" i="2" s="1"/>
  <c r="AM45" i="2"/>
  <c r="AN45" i="2" s="1"/>
  <c r="AO45" i="2" s="1"/>
  <c r="AM93" i="2"/>
  <c r="AN93" i="2" s="1"/>
  <c r="AM76" i="2"/>
  <c r="AN76" i="2" s="1"/>
  <c r="AM42" i="2"/>
  <c r="AN42" i="2" s="1"/>
  <c r="AM52" i="2"/>
  <c r="AN52" i="2" s="1"/>
  <c r="AM104" i="2"/>
  <c r="AN104" i="2" s="1"/>
  <c r="AM61" i="2"/>
  <c r="AN61" i="2" s="1"/>
  <c r="AM71" i="2"/>
  <c r="AN71" i="2" s="1"/>
  <c r="AM37" i="2"/>
  <c r="AN37" i="2" s="1"/>
  <c r="AM68" i="2"/>
  <c r="AN68" i="2" s="1"/>
  <c r="AM34" i="2"/>
  <c r="AN34" i="2" s="1"/>
  <c r="AM43" i="2"/>
  <c r="AN43" i="2" s="1"/>
  <c r="AM95" i="2"/>
  <c r="AN95" i="2" s="1"/>
  <c r="AM74" i="2"/>
  <c r="AN74" i="2" s="1"/>
  <c r="AM85" i="2"/>
  <c r="AN85" i="2" s="1"/>
  <c r="AM77" i="2"/>
  <c r="AN77" i="2" s="1"/>
  <c r="AM44" i="2"/>
  <c r="AN44" i="2" s="1"/>
  <c r="AM66" i="2"/>
  <c r="AN66" i="2" s="1"/>
  <c r="AO66" i="2" s="1"/>
  <c r="AM33" i="2"/>
  <c r="AN33" i="2" s="1"/>
  <c r="AM30" i="2"/>
  <c r="AN30" i="2" s="1"/>
  <c r="AM73" i="2"/>
  <c r="AN73" i="2" s="1"/>
  <c r="AM39" i="2"/>
  <c r="AN39" i="2" s="1"/>
  <c r="AM91" i="2"/>
  <c r="AN91" i="2" s="1"/>
  <c r="AM57" i="2"/>
  <c r="AN57" i="2" s="1"/>
  <c r="AM102" i="2"/>
  <c r="AN102" i="2" s="1"/>
  <c r="AM90" i="2"/>
  <c r="AN90" i="2" s="1"/>
  <c r="AM28" i="2"/>
  <c r="AN28" i="2" s="1"/>
  <c r="AM62" i="2"/>
  <c r="AN62" i="2" s="1"/>
  <c r="AM29" i="2"/>
  <c r="AN29" i="2" s="1"/>
  <c r="AM59" i="2"/>
  <c r="AN59" i="2" s="1"/>
  <c r="AM24" i="2"/>
  <c r="AN24" i="2" s="1"/>
  <c r="AM69" i="2"/>
  <c r="AN69" i="2" s="1"/>
  <c r="AM35" i="2"/>
  <c r="AN35" i="2" s="1"/>
  <c r="AM17" i="2"/>
  <c r="AN17" i="2" s="1"/>
  <c r="H17" i="2" s="1"/>
  <c r="AO32" i="2" l="1"/>
  <c r="I32" i="2" s="1"/>
  <c r="AO55" i="2"/>
  <c r="I55" i="2" s="1"/>
  <c r="AO89" i="2"/>
  <c r="I89" i="2" s="1"/>
  <c r="AO63" i="2"/>
  <c r="I63" i="2" s="1"/>
  <c r="AO64" i="2"/>
  <c r="I64" i="2" s="1"/>
  <c r="AO26" i="2"/>
  <c r="I26" i="2" s="1"/>
  <c r="AO58" i="2"/>
  <c r="I58" i="2" s="1"/>
  <c r="H51" i="2"/>
  <c r="Y51" i="2" s="1"/>
  <c r="H84" i="2"/>
  <c r="J84" i="2" s="1"/>
  <c r="H86" i="2"/>
  <c r="X86" i="2" s="1"/>
  <c r="AO54" i="2"/>
  <c r="I54" i="2" s="1"/>
  <c r="AO98" i="2"/>
  <c r="I98" i="2" s="1"/>
  <c r="H49" i="2"/>
  <c r="Q49" i="2" s="1"/>
  <c r="AO99" i="2"/>
  <c r="I99" i="2" s="1"/>
  <c r="H105" i="2"/>
  <c r="V105" i="2" s="1"/>
  <c r="H48" i="2"/>
  <c r="N48" i="2" s="1"/>
  <c r="H68" i="2"/>
  <c r="AO68" i="2"/>
  <c r="H65" i="2"/>
  <c r="AO65" i="2"/>
  <c r="I65" i="2" s="1"/>
  <c r="U51" i="2"/>
  <c r="W51" i="2"/>
  <c r="AO44" i="2"/>
  <c r="I44" i="2" s="1"/>
  <c r="H44" i="2"/>
  <c r="H97" i="2"/>
  <c r="AO97" i="2"/>
  <c r="I97" i="2" s="1"/>
  <c r="AD99" i="2"/>
  <c r="AB99" i="2"/>
  <c r="O99" i="2"/>
  <c r="Q99" i="2"/>
  <c r="S99" i="2"/>
  <c r="P99" i="2"/>
  <c r="Y99" i="2"/>
  <c r="W99" i="2"/>
  <c r="U99" i="2"/>
  <c r="J99" i="2"/>
  <c r="X99" i="2"/>
  <c r="AC99" i="2"/>
  <c r="R99" i="2"/>
  <c r="K99" i="2"/>
  <c r="N99" i="2"/>
  <c r="L99" i="2"/>
  <c r="AE99" i="2"/>
  <c r="V99" i="2"/>
  <c r="Z99" i="2"/>
  <c r="T99" i="2"/>
  <c r="AA99" i="2"/>
  <c r="M99" i="2"/>
  <c r="K49" i="2"/>
  <c r="X49" i="2"/>
  <c r="U49" i="2"/>
  <c r="R49" i="2"/>
  <c r="T49" i="2"/>
  <c r="Z40" i="2"/>
  <c r="Y40" i="2"/>
  <c r="L40" i="2"/>
  <c r="N40" i="2"/>
  <c r="AB40" i="2"/>
  <c r="AE40" i="2"/>
  <c r="O40" i="2"/>
  <c r="Q40" i="2"/>
  <c r="W40" i="2"/>
  <c r="AD40" i="2"/>
  <c r="S40" i="2"/>
  <c r="R40" i="2"/>
  <c r="X40" i="2"/>
  <c r="AC40" i="2"/>
  <c r="V40" i="2"/>
  <c r="K40" i="2"/>
  <c r="AA40" i="2"/>
  <c r="P40" i="2"/>
  <c r="M40" i="2"/>
  <c r="U40" i="2"/>
  <c r="J40" i="2"/>
  <c r="T40" i="2"/>
  <c r="H69" i="2"/>
  <c r="AO69" i="2"/>
  <c r="H57" i="2"/>
  <c r="AO57" i="2"/>
  <c r="I57" i="2" s="1"/>
  <c r="H77" i="2"/>
  <c r="AO77" i="2"/>
  <c r="H71" i="2"/>
  <c r="AO71" i="2"/>
  <c r="AO42" i="2"/>
  <c r="I42" i="2" s="1"/>
  <c r="H42" i="2"/>
  <c r="H81" i="2"/>
  <c r="AO81" i="2"/>
  <c r="H50" i="2"/>
  <c r="AO50" i="2"/>
  <c r="I50" i="2" s="1"/>
  <c r="J70" i="2"/>
  <c r="S70" i="2"/>
  <c r="T70" i="2"/>
  <c r="R70" i="2"/>
  <c r="N70" i="2"/>
  <c r="Z70" i="2"/>
  <c r="AB70" i="2"/>
  <c r="Y70" i="2"/>
  <c r="W70" i="2"/>
  <c r="U70" i="2"/>
  <c r="AA70" i="2"/>
  <c r="O70" i="2"/>
  <c r="V70" i="2"/>
  <c r="AC70" i="2"/>
  <c r="L70" i="2"/>
  <c r="AE70" i="2"/>
  <c r="P70" i="2"/>
  <c r="Q70" i="2"/>
  <c r="K70" i="2"/>
  <c r="X70" i="2"/>
  <c r="AD70" i="2"/>
  <c r="M70" i="2"/>
  <c r="S101" i="2"/>
  <c r="AA101" i="2"/>
  <c r="O101" i="2"/>
  <c r="AC101" i="2"/>
  <c r="M101" i="2"/>
  <c r="AB101" i="2"/>
  <c r="AD101" i="2"/>
  <c r="AE101" i="2"/>
  <c r="V101" i="2"/>
  <c r="R101" i="2"/>
  <c r="K101" i="2"/>
  <c r="L101" i="2"/>
  <c r="P101" i="2"/>
  <c r="T101" i="2"/>
  <c r="Q101" i="2"/>
  <c r="W101" i="2"/>
  <c r="U101" i="2"/>
  <c r="X101" i="2"/>
  <c r="Z101" i="2"/>
  <c r="N101" i="2"/>
  <c r="Y101" i="2"/>
  <c r="J101" i="2"/>
  <c r="H24" i="2"/>
  <c r="AO24" i="2"/>
  <c r="I24" i="2" s="1"/>
  <c r="AO91" i="2"/>
  <c r="I91" i="2" s="1"/>
  <c r="H91" i="2"/>
  <c r="H85" i="2"/>
  <c r="AO85" i="2"/>
  <c r="AO61" i="2"/>
  <c r="I61" i="2" s="1"/>
  <c r="H61" i="2"/>
  <c r="AO76" i="2"/>
  <c r="H76" i="2"/>
  <c r="AO83" i="2"/>
  <c r="H83" i="2"/>
  <c r="J86" i="2"/>
  <c r="AA86" i="2"/>
  <c r="V86" i="2"/>
  <c r="S86" i="2"/>
  <c r="AB86" i="2"/>
  <c r="O86" i="2"/>
  <c r="L86" i="2"/>
  <c r="Z86" i="2"/>
  <c r="Q86" i="2"/>
  <c r="AD86" i="2"/>
  <c r="AC86" i="2"/>
  <c r="AE86" i="2"/>
  <c r="T86" i="2"/>
  <c r="K86" i="2"/>
  <c r="M86" i="2"/>
  <c r="Y86" i="2"/>
  <c r="R86" i="2"/>
  <c r="U86" i="2"/>
  <c r="P86" i="2"/>
  <c r="AD84" i="2"/>
  <c r="S84" i="2"/>
  <c r="M84" i="2"/>
  <c r="AE84" i="2"/>
  <c r="Z84" i="2"/>
  <c r="W84" i="2"/>
  <c r="V84" i="2"/>
  <c r="O84" i="2"/>
  <c r="L84" i="2"/>
  <c r="Y64" i="2"/>
  <c r="AE64" i="2"/>
  <c r="J64" i="2"/>
  <c r="M64" i="2"/>
  <c r="N64" i="2"/>
  <c r="R64" i="2"/>
  <c r="O64" i="2"/>
  <c r="L64" i="2"/>
  <c r="V64" i="2"/>
  <c r="Z64" i="2"/>
  <c r="T64" i="2"/>
  <c r="P64" i="2"/>
  <c r="AB64" i="2"/>
  <c r="Q64" i="2"/>
  <c r="AD64" i="2"/>
  <c r="K64" i="2"/>
  <c r="U64" i="2"/>
  <c r="S64" i="2"/>
  <c r="X64" i="2"/>
  <c r="AA64" i="2"/>
  <c r="W64" i="2"/>
  <c r="AC64" i="2"/>
  <c r="AO104" i="2"/>
  <c r="I104" i="2" s="1"/>
  <c r="H104" i="2"/>
  <c r="AO94" i="2"/>
  <c r="I94" i="2" s="1"/>
  <c r="H94" i="2"/>
  <c r="X23" i="2"/>
  <c r="AA23" i="2"/>
  <c r="O23" i="2"/>
  <c r="Q23" i="2"/>
  <c r="V23" i="2"/>
  <c r="T23" i="2"/>
  <c r="Y23" i="2"/>
  <c r="W23" i="2"/>
  <c r="J23" i="2"/>
  <c r="AB23" i="2"/>
  <c r="M23" i="2"/>
  <c r="R23" i="2"/>
  <c r="AD23" i="2"/>
  <c r="AC23" i="2"/>
  <c r="K23" i="2"/>
  <c r="AE23" i="2"/>
  <c r="P23" i="2"/>
  <c r="Z23" i="2"/>
  <c r="S23" i="2"/>
  <c r="L23" i="2"/>
  <c r="U23" i="2"/>
  <c r="N23" i="2"/>
  <c r="L102" i="2"/>
  <c r="AO102" i="2"/>
  <c r="AO52" i="2"/>
  <c r="I52" i="2" s="1"/>
  <c r="H52" i="2"/>
  <c r="AO78" i="2"/>
  <c r="H78" i="2"/>
  <c r="U22" i="2"/>
  <c r="Y22" i="2"/>
  <c r="T22" i="2"/>
  <c r="P22" i="2"/>
  <c r="AE22" i="2"/>
  <c r="J22" i="2"/>
  <c r="AB22" i="2"/>
  <c r="O22" i="2"/>
  <c r="R22" i="2"/>
  <c r="W22" i="2"/>
  <c r="Z22" i="2"/>
  <c r="X22" i="2"/>
  <c r="V22" i="2"/>
  <c r="N22" i="2"/>
  <c r="K22" i="2"/>
  <c r="AC22" i="2"/>
  <c r="S22" i="2"/>
  <c r="Q22" i="2"/>
  <c r="AD22" i="2"/>
  <c r="AA22" i="2"/>
  <c r="M22" i="2"/>
  <c r="L22" i="2"/>
  <c r="AO39" i="2"/>
  <c r="I39" i="2" s="1"/>
  <c r="H39" i="2"/>
  <c r="AO93" i="2"/>
  <c r="I93" i="2" s="1"/>
  <c r="H93" i="2"/>
  <c r="AO96" i="2"/>
  <c r="I96" i="2" s="1"/>
  <c r="H96" i="2"/>
  <c r="O31" i="2"/>
  <c r="Q31" i="2"/>
  <c r="Z31" i="2"/>
  <c r="AD31" i="2"/>
  <c r="Y31" i="2"/>
  <c r="K31" i="2"/>
  <c r="L31" i="2"/>
  <c r="AC31" i="2"/>
  <c r="M31" i="2"/>
  <c r="P31" i="2"/>
  <c r="N31" i="2"/>
  <c r="AE31" i="2"/>
  <c r="R31" i="2"/>
  <c r="V31" i="2"/>
  <c r="J31" i="2"/>
  <c r="X31" i="2"/>
  <c r="U31" i="2"/>
  <c r="S31" i="2"/>
  <c r="AB31" i="2"/>
  <c r="T31" i="2"/>
  <c r="W31" i="2"/>
  <c r="AA31" i="2"/>
  <c r="AO73" i="2"/>
  <c r="H73" i="2"/>
  <c r="J54" i="2"/>
  <c r="O54" i="2"/>
  <c r="R54" i="2"/>
  <c r="AE54" i="2"/>
  <c r="Q54" i="2"/>
  <c r="Z54" i="2"/>
  <c r="V54" i="2"/>
  <c r="K54" i="2"/>
  <c r="AC54" i="2"/>
  <c r="AA54" i="2"/>
  <c r="S54" i="2"/>
  <c r="AB54" i="2"/>
  <c r="T54" i="2"/>
  <c r="M54" i="2"/>
  <c r="Y54" i="2"/>
  <c r="L54" i="2"/>
  <c r="AD54" i="2"/>
  <c r="U54" i="2"/>
  <c r="P54" i="2"/>
  <c r="W54" i="2"/>
  <c r="N54" i="2"/>
  <c r="X54" i="2"/>
  <c r="K89" i="2"/>
  <c r="AD89" i="2"/>
  <c r="M89" i="2"/>
  <c r="S89" i="2"/>
  <c r="J89" i="2"/>
  <c r="W89" i="2"/>
  <c r="AA89" i="2"/>
  <c r="Z89" i="2"/>
  <c r="Y89" i="2"/>
  <c r="L89" i="2"/>
  <c r="O89" i="2"/>
  <c r="AC89" i="2"/>
  <c r="T89" i="2"/>
  <c r="AE89" i="2"/>
  <c r="P89" i="2"/>
  <c r="N89" i="2"/>
  <c r="R89" i="2"/>
  <c r="X89" i="2"/>
  <c r="AB89" i="2"/>
  <c r="Q89" i="2"/>
  <c r="V89" i="2"/>
  <c r="U89" i="2"/>
  <c r="AO62" i="2"/>
  <c r="I62" i="2" s="1"/>
  <c r="H62" i="2"/>
  <c r="AO30" i="2"/>
  <c r="I30" i="2" s="1"/>
  <c r="H30" i="2"/>
  <c r="H43" i="2"/>
  <c r="AO43" i="2"/>
  <c r="I43" i="2" s="1"/>
  <c r="AO79" i="2"/>
  <c r="H79" i="2"/>
  <c r="H56" i="2"/>
  <c r="AO56" i="2"/>
  <c r="I56" i="2" s="1"/>
  <c r="H53" i="2"/>
  <c r="AO53" i="2"/>
  <c r="I53" i="2" s="1"/>
  <c r="H41" i="2"/>
  <c r="AO41" i="2"/>
  <c r="I41" i="2" s="1"/>
  <c r="U26" i="2"/>
  <c r="Q26" i="2"/>
  <c r="N26" i="2"/>
  <c r="AB26" i="2"/>
  <c r="Y26" i="2"/>
  <c r="J26" i="2"/>
  <c r="AC26" i="2"/>
  <c r="V26" i="2"/>
  <c r="L26" i="2"/>
  <c r="X26" i="2"/>
  <c r="AD26" i="2"/>
  <c r="AE26" i="2"/>
  <c r="AA26" i="2"/>
  <c r="O26" i="2"/>
  <c r="K26" i="2"/>
  <c r="R26" i="2"/>
  <c r="W26" i="2"/>
  <c r="Z26" i="2"/>
  <c r="T26" i="2"/>
  <c r="S26" i="2"/>
  <c r="P26" i="2"/>
  <c r="M26" i="2"/>
  <c r="R55" i="2"/>
  <c r="M55" i="2"/>
  <c r="O55" i="2"/>
  <c r="Z55" i="2"/>
  <c r="U55" i="2"/>
  <c r="Q55" i="2"/>
  <c r="K55" i="2"/>
  <c r="AC55" i="2"/>
  <c r="V55" i="2"/>
  <c r="S55" i="2"/>
  <c r="W55" i="2"/>
  <c r="AA55" i="2"/>
  <c r="Y55" i="2"/>
  <c r="X55" i="2"/>
  <c r="T55" i="2"/>
  <c r="AE55" i="2"/>
  <c r="P55" i="2"/>
  <c r="J55" i="2"/>
  <c r="L55" i="2"/>
  <c r="AD55" i="2"/>
  <c r="AB55" i="2"/>
  <c r="N55" i="2"/>
  <c r="U82" i="2"/>
  <c r="AA82" i="2"/>
  <c r="V82" i="2"/>
  <c r="AC82" i="2"/>
  <c r="S82" i="2"/>
  <c r="Z82" i="2"/>
  <c r="O82" i="2"/>
  <c r="T82" i="2"/>
  <c r="AB82" i="2"/>
  <c r="W82" i="2"/>
  <c r="K82" i="2"/>
  <c r="AD82" i="2"/>
  <c r="AE82" i="2"/>
  <c r="Y82" i="2"/>
  <c r="L82" i="2"/>
  <c r="X82" i="2"/>
  <c r="Q82" i="2"/>
  <c r="M82" i="2"/>
  <c r="P82" i="2"/>
  <c r="J82" i="2"/>
  <c r="N82" i="2"/>
  <c r="R82" i="2"/>
  <c r="H90" i="2"/>
  <c r="AO90" i="2"/>
  <c r="I90" i="2" s="1"/>
  <c r="H80" i="2"/>
  <c r="AO80" i="2"/>
  <c r="H35" i="2"/>
  <c r="AO35" i="2"/>
  <c r="I35" i="2" s="1"/>
  <c r="AO37" i="2"/>
  <c r="I37" i="2" s="1"/>
  <c r="H37" i="2"/>
  <c r="H36" i="2"/>
  <c r="AO36" i="2"/>
  <c r="I36" i="2" s="1"/>
  <c r="H59" i="2"/>
  <c r="AO59" i="2"/>
  <c r="I59" i="2" s="1"/>
  <c r="H74" i="2"/>
  <c r="AO74" i="2"/>
  <c r="M63" i="2"/>
  <c r="T63" i="2"/>
  <c r="W63" i="2"/>
  <c r="P63" i="2"/>
  <c r="L63" i="2"/>
  <c r="AE63" i="2"/>
  <c r="J63" i="2"/>
  <c r="Q63" i="2"/>
  <c r="V63" i="2"/>
  <c r="AA63" i="2"/>
  <c r="K63" i="2"/>
  <c r="AB63" i="2"/>
  <c r="X63" i="2"/>
  <c r="AC63" i="2"/>
  <c r="N63" i="2"/>
  <c r="S63" i="2"/>
  <c r="AD63" i="2"/>
  <c r="O63" i="2"/>
  <c r="Z63" i="2"/>
  <c r="Y63" i="2"/>
  <c r="U63" i="2"/>
  <c r="R63" i="2"/>
  <c r="H38" i="2"/>
  <c r="AO38" i="2"/>
  <c r="I38" i="2" s="1"/>
  <c r="H29" i="2"/>
  <c r="AO29" i="2"/>
  <c r="I29" i="2" s="1"/>
  <c r="H95" i="2"/>
  <c r="AO95" i="2"/>
  <c r="I95" i="2" s="1"/>
  <c r="Y32" i="2"/>
  <c r="L32" i="2"/>
  <c r="AD32" i="2"/>
  <c r="M32" i="2"/>
  <c r="W32" i="2"/>
  <c r="J32" i="2"/>
  <c r="Q32" i="2"/>
  <c r="X32" i="2"/>
  <c r="Z32" i="2"/>
  <c r="R32" i="2"/>
  <c r="AE32" i="2"/>
  <c r="N32" i="2"/>
  <c r="K32" i="2"/>
  <c r="AA32" i="2"/>
  <c r="P32" i="2"/>
  <c r="V32" i="2"/>
  <c r="AC32" i="2"/>
  <c r="AB32" i="2"/>
  <c r="T32" i="2"/>
  <c r="O32" i="2"/>
  <c r="U32" i="2"/>
  <c r="S32" i="2"/>
  <c r="H21" i="2"/>
  <c r="AO21" i="2"/>
  <c r="I21" i="2" s="1"/>
  <c r="AO72" i="2"/>
  <c r="H72" i="2"/>
  <c r="K100" i="2"/>
  <c r="T100" i="2"/>
  <c r="M100" i="2"/>
  <c r="S100" i="2"/>
  <c r="J100" i="2"/>
  <c r="U100" i="2"/>
  <c r="AA100" i="2"/>
  <c r="N100" i="2"/>
  <c r="AC100" i="2"/>
  <c r="L100" i="2"/>
  <c r="V100" i="2"/>
  <c r="P100" i="2"/>
  <c r="AB100" i="2"/>
  <c r="W100" i="2"/>
  <c r="Q100" i="2"/>
  <c r="AE100" i="2"/>
  <c r="AD100" i="2"/>
  <c r="R100" i="2"/>
  <c r="Z100" i="2"/>
  <c r="O100" i="2"/>
  <c r="X100" i="2"/>
  <c r="Y100" i="2"/>
  <c r="H18" i="2"/>
  <c r="Z18" i="2" s="1"/>
  <c r="AO28" i="2"/>
  <c r="I28" i="2" s="1"/>
  <c r="H28" i="2"/>
  <c r="AO33" i="2"/>
  <c r="I33" i="2" s="1"/>
  <c r="H33" i="2"/>
  <c r="AO34" i="2"/>
  <c r="I34" i="2" s="1"/>
  <c r="H34" i="2"/>
  <c r="P98" i="2"/>
  <c r="M98" i="2"/>
  <c r="AB98" i="2"/>
  <c r="V98" i="2"/>
  <c r="O98" i="2"/>
  <c r="AC98" i="2"/>
  <c r="Y98" i="2"/>
  <c r="AA98" i="2"/>
  <c r="R98" i="2"/>
  <c r="X98" i="2"/>
  <c r="W98" i="2"/>
  <c r="AE98" i="2"/>
  <c r="N98" i="2"/>
  <c r="AD98" i="2"/>
  <c r="U98" i="2"/>
  <c r="J98" i="2"/>
  <c r="K98" i="2"/>
  <c r="L98" i="2"/>
  <c r="S98" i="2"/>
  <c r="Q98" i="2"/>
  <c r="T98" i="2"/>
  <c r="Z98" i="2"/>
  <c r="AO92" i="2"/>
  <c r="I92" i="2" s="1"/>
  <c r="H92" i="2"/>
  <c r="H60" i="2"/>
  <c r="AO60" i="2"/>
  <c r="I60" i="2" s="1"/>
  <c r="AO75" i="2"/>
  <c r="H75" i="2"/>
  <c r="AC58" i="2"/>
  <c r="O58" i="2"/>
  <c r="L58" i="2"/>
  <c r="Y58" i="2"/>
  <c r="V58" i="2"/>
  <c r="X58" i="2"/>
  <c r="W58" i="2"/>
  <c r="T58" i="2"/>
  <c r="Q58" i="2"/>
  <c r="K58" i="2"/>
  <c r="J58" i="2"/>
  <c r="AA58" i="2"/>
  <c r="R58" i="2"/>
  <c r="AB58" i="2"/>
  <c r="AD58" i="2"/>
  <c r="P58" i="2"/>
  <c r="Z58" i="2"/>
  <c r="N58" i="2"/>
  <c r="M58" i="2"/>
  <c r="AE58" i="2"/>
  <c r="U58" i="2"/>
  <c r="S58" i="2"/>
  <c r="I18" i="2"/>
  <c r="AO17" i="2"/>
  <c r="I17" i="2" s="1"/>
  <c r="J51" i="2" l="1"/>
  <c r="AD51" i="2"/>
  <c r="X51" i="2"/>
  <c r="R51" i="2"/>
  <c r="AB51" i="2"/>
  <c r="O51" i="2"/>
  <c r="V51" i="2"/>
  <c r="Z48" i="2"/>
  <c r="Z49" i="2"/>
  <c r="S51" i="2"/>
  <c r="Q51" i="2"/>
  <c r="K48" i="2"/>
  <c r="L49" i="2"/>
  <c r="L51" i="2"/>
  <c r="AE51" i="2"/>
  <c r="AD48" i="2"/>
  <c r="AA51" i="2"/>
  <c r="T51" i="2"/>
  <c r="AA84" i="2"/>
  <c r="X84" i="2"/>
  <c r="P84" i="2"/>
  <c r="Y84" i="2"/>
  <c r="AB84" i="2"/>
  <c r="K84" i="2"/>
  <c r="U84" i="2"/>
  <c r="T84" i="2"/>
  <c r="R84" i="2"/>
  <c r="M51" i="2"/>
  <c r="P51" i="2"/>
  <c r="N51" i="2"/>
  <c r="Q84" i="2"/>
  <c r="N84" i="2"/>
  <c r="Z51" i="2"/>
  <c r="K51" i="2"/>
  <c r="AC84" i="2"/>
  <c r="AC51" i="2"/>
  <c r="AA49" i="2"/>
  <c r="AD49" i="2"/>
  <c r="P49" i="2"/>
  <c r="AC49" i="2"/>
  <c r="W49" i="2"/>
  <c r="Y49" i="2"/>
  <c r="S49" i="2"/>
  <c r="AB49" i="2"/>
  <c r="AE49" i="2"/>
  <c r="N49" i="2"/>
  <c r="O18" i="2"/>
  <c r="AD18" i="2"/>
  <c r="L18" i="2"/>
  <c r="R18" i="2"/>
  <c r="AB18" i="2"/>
  <c r="X48" i="2"/>
  <c r="L105" i="2"/>
  <c r="S48" i="2"/>
  <c r="M105" i="2"/>
  <c r="R48" i="2"/>
  <c r="Q105" i="2"/>
  <c r="O105" i="2"/>
  <c r="N105" i="2"/>
  <c r="Q48" i="2"/>
  <c r="V48" i="2"/>
  <c r="U105" i="2"/>
  <c r="L48" i="2"/>
  <c r="Y48" i="2"/>
  <c r="T48" i="2"/>
  <c r="AA105" i="2"/>
  <c r="K105" i="2"/>
  <c r="P105" i="2"/>
  <c r="S105" i="2"/>
  <c r="AA48" i="2"/>
  <c r="AB105" i="2"/>
  <c r="AC105" i="2"/>
  <c r="X105" i="2"/>
  <c r="O48" i="2"/>
  <c r="J48" i="2"/>
  <c r="W48" i="2"/>
  <c r="M49" i="2"/>
  <c r="V49" i="2"/>
  <c r="Z105" i="2"/>
  <c r="T105" i="2"/>
  <c r="Y105" i="2"/>
  <c r="U48" i="2"/>
  <c r="J105" i="2"/>
  <c r="R105" i="2"/>
  <c r="AD105" i="2"/>
  <c r="AB48" i="2"/>
  <c r="P48" i="2"/>
  <c r="AE48" i="2"/>
  <c r="W105" i="2"/>
  <c r="AE105" i="2"/>
  <c r="N86" i="2"/>
  <c r="W86" i="2"/>
  <c r="AC48" i="2"/>
  <c r="M48" i="2"/>
  <c r="J49" i="2"/>
  <c r="O49" i="2"/>
  <c r="Q18" i="2"/>
  <c r="T18" i="2"/>
  <c r="J18" i="2"/>
  <c r="Y18" i="2"/>
  <c r="X18" i="2"/>
  <c r="V18" i="2"/>
  <c r="N18" i="2"/>
  <c r="AA18" i="2"/>
  <c r="P18" i="2"/>
  <c r="AC18" i="2"/>
  <c r="S18" i="2"/>
  <c r="U18" i="2"/>
  <c r="K18" i="2"/>
  <c r="AE18" i="2"/>
  <c r="W18" i="2"/>
  <c r="M18" i="2"/>
  <c r="AB60" i="2"/>
  <c r="S60" i="2"/>
  <c r="Q60" i="2"/>
  <c r="J60" i="2"/>
  <c r="AA60" i="2"/>
  <c r="Z60" i="2"/>
  <c r="K60" i="2"/>
  <c r="AC60" i="2"/>
  <c r="L60" i="2"/>
  <c r="N60" i="2"/>
  <c r="R60" i="2"/>
  <c r="M60" i="2"/>
  <c r="O60" i="2"/>
  <c r="P60" i="2"/>
  <c r="V60" i="2"/>
  <c r="U60" i="2"/>
  <c r="T60" i="2"/>
  <c r="AD60" i="2"/>
  <c r="AE60" i="2"/>
  <c r="X60" i="2"/>
  <c r="W60" i="2"/>
  <c r="Y60" i="2"/>
  <c r="V56" i="2"/>
  <c r="Z56" i="2"/>
  <c r="X56" i="2"/>
  <c r="N56" i="2"/>
  <c r="K56" i="2"/>
  <c r="Y56" i="2"/>
  <c r="S56" i="2"/>
  <c r="AD56" i="2"/>
  <c r="O56" i="2"/>
  <c r="AA56" i="2"/>
  <c r="Q56" i="2"/>
  <c r="M56" i="2"/>
  <c r="AE56" i="2"/>
  <c r="AC56" i="2"/>
  <c r="W56" i="2"/>
  <c r="L56" i="2"/>
  <c r="T56" i="2"/>
  <c r="P56" i="2"/>
  <c r="J56" i="2"/>
  <c r="AB56" i="2"/>
  <c r="U56" i="2"/>
  <c r="R56" i="2"/>
  <c r="P71" i="2"/>
  <c r="L71" i="2"/>
  <c r="AD71" i="2"/>
  <c r="Z71" i="2"/>
  <c r="U71" i="2"/>
  <c r="J71" i="2"/>
  <c r="AC71" i="2"/>
  <c r="X71" i="2"/>
  <c r="R71" i="2"/>
  <c r="W71" i="2"/>
  <c r="K71" i="2"/>
  <c r="Y71" i="2"/>
  <c r="V71" i="2"/>
  <c r="S71" i="2"/>
  <c r="AE71" i="2"/>
  <c r="Q71" i="2"/>
  <c r="M71" i="2"/>
  <c r="AA71" i="2"/>
  <c r="N71" i="2"/>
  <c r="T71" i="2"/>
  <c r="AB71" i="2"/>
  <c r="O71" i="2"/>
  <c r="Q37" i="2"/>
  <c r="L37" i="2"/>
  <c r="W37" i="2"/>
  <c r="AC37" i="2"/>
  <c r="P37" i="2"/>
  <c r="X37" i="2"/>
  <c r="Y37" i="2"/>
  <c r="T37" i="2"/>
  <c r="Z37" i="2"/>
  <c r="V37" i="2"/>
  <c r="R37" i="2"/>
  <c r="J37" i="2"/>
  <c r="AD37" i="2"/>
  <c r="O37" i="2"/>
  <c r="AB37" i="2"/>
  <c r="AA37" i="2"/>
  <c r="S37" i="2"/>
  <c r="U37" i="2"/>
  <c r="M37" i="2"/>
  <c r="N37" i="2"/>
  <c r="AE37" i="2"/>
  <c r="K37" i="2"/>
  <c r="S79" i="2"/>
  <c r="AD79" i="2"/>
  <c r="J79" i="2"/>
  <c r="AB79" i="2"/>
  <c r="W79" i="2"/>
  <c r="R79" i="2"/>
  <c r="AC79" i="2"/>
  <c r="Z79" i="2"/>
  <c r="AE79" i="2"/>
  <c r="K79" i="2"/>
  <c r="O79" i="2"/>
  <c r="U79" i="2"/>
  <c r="AA79" i="2"/>
  <c r="Q79" i="2"/>
  <c r="V79" i="2"/>
  <c r="X79" i="2"/>
  <c r="L79" i="2"/>
  <c r="N79" i="2"/>
  <c r="T79" i="2"/>
  <c r="P79" i="2"/>
  <c r="M79" i="2"/>
  <c r="Y79" i="2"/>
  <c r="AC39" i="2"/>
  <c r="Z39" i="2"/>
  <c r="R39" i="2"/>
  <c r="M39" i="2"/>
  <c r="K39" i="2"/>
  <c r="N39" i="2"/>
  <c r="T39" i="2"/>
  <c r="S39" i="2"/>
  <c r="U39" i="2"/>
  <c r="O39" i="2"/>
  <c r="AA39" i="2"/>
  <c r="AD39" i="2"/>
  <c r="W39" i="2"/>
  <c r="L39" i="2"/>
  <c r="AE39" i="2"/>
  <c r="J39" i="2"/>
  <c r="AB39" i="2"/>
  <c r="X39" i="2"/>
  <c r="P39" i="2"/>
  <c r="Q39" i="2"/>
  <c r="Y39" i="2"/>
  <c r="V39" i="2"/>
  <c r="J78" i="2"/>
  <c r="AB78" i="2"/>
  <c r="T78" i="2"/>
  <c r="K78" i="2"/>
  <c r="X78" i="2"/>
  <c r="AC78" i="2"/>
  <c r="L78" i="2"/>
  <c r="Q78" i="2"/>
  <c r="Z78" i="2"/>
  <c r="AD78" i="2"/>
  <c r="O78" i="2"/>
  <c r="M78" i="2"/>
  <c r="S78" i="2"/>
  <c r="AE78" i="2"/>
  <c r="R78" i="2"/>
  <c r="N78" i="2"/>
  <c r="U78" i="2"/>
  <c r="AA78" i="2"/>
  <c r="Y78" i="2"/>
  <c r="P78" i="2"/>
  <c r="W78" i="2"/>
  <c r="V78" i="2"/>
  <c r="AD104" i="2"/>
  <c r="AC104" i="2"/>
  <c r="K104" i="2"/>
  <c r="O104" i="2"/>
  <c r="N104" i="2"/>
  <c r="AB104" i="2"/>
  <c r="X104" i="2"/>
  <c r="AE104" i="2"/>
  <c r="P104" i="2"/>
  <c r="S104" i="2"/>
  <c r="J104" i="2"/>
  <c r="Y104" i="2"/>
  <c r="T104" i="2"/>
  <c r="M104" i="2"/>
  <c r="Z104" i="2"/>
  <c r="W104" i="2"/>
  <c r="R104" i="2"/>
  <c r="V104" i="2"/>
  <c r="Q104" i="2"/>
  <c r="L104" i="2"/>
  <c r="U104" i="2"/>
  <c r="AA104" i="2"/>
  <c r="X33" i="2"/>
  <c r="L33" i="2"/>
  <c r="V33" i="2"/>
  <c r="Q33" i="2"/>
  <c r="AB33" i="2"/>
  <c r="W33" i="2"/>
  <c r="Y33" i="2"/>
  <c r="N33" i="2"/>
  <c r="J33" i="2"/>
  <c r="AD33" i="2"/>
  <c r="M33" i="2"/>
  <c r="R33" i="2"/>
  <c r="O33" i="2"/>
  <c r="AC33" i="2"/>
  <c r="K33" i="2"/>
  <c r="S33" i="2"/>
  <c r="U33" i="2"/>
  <c r="P33" i="2"/>
  <c r="Z33" i="2"/>
  <c r="AA33" i="2"/>
  <c r="T33" i="2"/>
  <c r="AE33" i="2"/>
  <c r="Y29" i="2"/>
  <c r="S29" i="2"/>
  <c r="AB29" i="2"/>
  <c r="P29" i="2"/>
  <c r="K29" i="2"/>
  <c r="U29" i="2"/>
  <c r="AD29" i="2"/>
  <c r="AA29" i="2"/>
  <c r="Z29" i="2"/>
  <c r="R29" i="2"/>
  <c r="Q29" i="2"/>
  <c r="AE29" i="2"/>
  <c r="V29" i="2"/>
  <c r="W29" i="2"/>
  <c r="AC29" i="2"/>
  <c r="L29" i="2"/>
  <c r="T29" i="2"/>
  <c r="J29" i="2"/>
  <c r="N29" i="2"/>
  <c r="M29" i="2"/>
  <c r="O29" i="2"/>
  <c r="X29" i="2"/>
  <c r="AE85" i="2"/>
  <c r="J85" i="2"/>
  <c r="U85" i="2"/>
  <c r="S85" i="2"/>
  <c r="W85" i="2"/>
  <c r="M85" i="2"/>
  <c r="AB85" i="2"/>
  <c r="Z85" i="2"/>
  <c r="AC85" i="2"/>
  <c r="V85" i="2"/>
  <c r="O85" i="2"/>
  <c r="P85" i="2"/>
  <c r="L85" i="2"/>
  <c r="Y85" i="2"/>
  <c r="R85" i="2"/>
  <c r="N85" i="2"/>
  <c r="Q85" i="2"/>
  <c r="X85" i="2"/>
  <c r="T85" i="2"/>
  <c r="K85" i="2"/>
  <c r="AA85" i="2"/>
  <c r="AD85" i="2"/>
  <c r="O50" i="2"/>
  <c r="R50" i="2"/>
  <c r="J50" i="2"/>
  <c r="W50" i="2"/>
  <c r="Z50" i="2"/>
  <c r="Q50" i="2"/>
  <c r="AE50" i="2"/>
  <c r="AD50" i="2"/>
  <c r="U50" i="2"/>
  <c r="P50" i="2"/>
  <c r="N50" i="2"/>
  <c r="M50" i="2"/>
  <c r="X50" i="2"/>
  <c r="AC50" i="2"/>
  <c r="Y50" i="2"/>
  <c r="V50" i="2"/>
  <c r="AA50" i="2"/>
  <c r="AB50" i="2"/>
  <c r="K50" i="2"/>
  <c r="S50" i="2"/>
  <c r="L50" i="2"/>
  <c r="T50" i="2"/>
  <c r="M77" i="2"/>
  <c r="V77" i="2"/>
  <c r="Q77" i="2"/>
  <c r="AC77" i="2"/>
  <c r="O77" i="2"/>
  <c r="Y77" i="2"/>
  <c r="R77" i="2"/>
  <c r="K77" i="2"/>
  <c r="AA77" i="2"/>
  <c r="N77" i="2"/>
  <c r="X77" i="2"/>
  <c r="L77" i="2"/>
  <c r="AB77" i="2"/>
  <c r="W77" i="2"/>
  <c r="AD77" i="2"/>
  <c r="AE77" i="2"/>
  <c r="S77" i="2"/>
  <c r="U77" i="2"/>
  <c r="J77" i="2"/>
  <c r="P77" i="2"/>
  <c r="Z77" i="2"/>
  <c r="T77" i="2"/>
  <c r="P97" i="2"/>
  <c r="N97" i="2"/>
  <c r="O97" i="2"/>
  <c r="X97" i="2"/>
  <c r="V97" i="2"/>
  <c r="Q97" i="2"/>
  <c r="K97" i="2"/>
  <c r="AD97" i="2"/>
  <c r="U97" i="2"/>
  <c r="S97" i="2"/>
  <c r="R97" i="2"/>
  <c r="AC97" i="2"/>
  <c r="AA97" i="2"/>
  <c r="W97" i="2"/>
  <c r="AE97" i="2"/>
  <c r="T97" i="2"/>
  <c r="J97" i="2"/>
  <c r="M97" i="2"/>
  <c r="L97" i="2"/>
  <c r="Y97" i="2"/>
  <c r="AB97" i="2"/>
  <c r="Z97" i="2"/>
  <c r="N93" i="2"/>
  <c r="AE93" i="2"/>
  <c r="M93" i="2"/>
  <c r="U93" i="2"/>
  <c r="J93" i="2"/>
  <c r="Q93" i="2"/>
  <c r="W93" i="2"/>
  <c r="AD93" i="2"/>
  <c r="Z93" i="2"/>
  <c r="L93" i="2"/>
  <c r="P93" i="2"/>
  <c r="AB93" i="2"/>
  <c r="S93" i="2"/>
  <c r="V93" i="2"/>
  <c r="AA93" i="2"/>
  <c r="O93" i="2"/>
  <c r="K93" i="2"/>
  <c r="R93" i="2"/>
  <c r="X93" i="2"/>
  <c r="Y93" i="2"/>
  <c r="T93" i="2"/>
  <c r="AC93" i="2"/>
  <c r="X61" i="2"/>
  <c r="S61" i="2"/>
  <c r="AC61" i="2"/>
  <c r="T61" i="2"/>
  <c r="AD61" i="2"/>
  <c r="Y61" i="2"/>
  <c r="R61" i="2"/>
  <c r="U61" i="2"/>
  <c r="AA61" i="2"/>
  <c r="Z61" i="2"/>
  <c r="O61" i="2"/>
  <c r="P61" i="2"/>
  <c r="Q61" i="2"/>
  <c r="W61" i="2"/>
  <c r="J61" i="2"/>
  <c r="AB61" i="2"/>
  <c r="M61" i="2"/>
  <c r="N61" i="2"/>
  <c r="V61" i="2"/>
  <c r="AE61" i="2"/>
  <c r="K61" i="2"/>
  <c r="L61" i="2"/>
  <c r="AC34" i="2"/>
  <c r="X34" i="2"/>
  <c r="W34" i="2"/>
  <c r="AD34" i="2"/>
  <c r="Z34" i="2"/>
  <c r="O34" i="2"/>
  <c r="U34" i="2"/>
  <c r="N34" i="2"/>
  <c r="J34" i="2"/>
  <c r="Q34" i="2"/>
  <c r="P34" i="2"/>
  <c r="T34" i="2"/>
  <c r="R34" i="2"/>
  <c r="Y34" i="2"/>
  <c r="AA34" i="2"/>
  <c r="AE34" i="2"/>
  <c r="S34" i="2"/>
  <c r="AB34" i="2"/>
  <c r="V34" i="2"/>
  <c r="K34" i="2"/>
  <c r="L34" i="2"/>
  <c r="M34" i="2"/>
  <c r="S35" i="2"/>
  <c r="P35" i="2"/>
  <c r="AA35" i="2"/>
  <c r="X35" i="2"/>
  <c r="N35" i="2"/>
  <c r="AB35" i="2"/>
  <c r="Z35" i="2"/>
  <c r="O35" i="2"/>
  <c r="K35" i="2"/>
  <c r="V35" i="2"/>
  <c r="L35" i="2"/>
  <c r="J35" i="2"/>
  <c r="R35" i="2"/>
  <c r="AE35" i="2"/>
  <c r="AD35" i="2"/>
  <c r="Y35" i="2"/>
  <c r="W35" i="2"/>
  <c r="M35" i="2"/>
  <c r="Q35" i="2"/>
  <c r="T35" i="2"/>
  <c r="AC35" i="2"/>
  <c r="U35" i="2"/>
  <c r="Y81" i="2"/>
  <c r="AE81" i="2"/>
  <c r="L81" i="2"/>
  <c r="J81" i="2"/>
  <c r="N81" i="2"/>
  <c r="Z81" i="2"/>
  <c r="U81" i="2"/>
  <c r="V81" i="2"/>
  <c r="M81" i="2"/>
  <c r="AB81" i="2"/>
  <c r="AD81" i="2"/>
  <c r="AA81" i="2"/>
  <c r="K81" i="2"/>
  <c r="X81" i="2"/>
  <c r="AC81" i="2"/>
  <c r="T81" i="2"/>
  <c r="S81" i="2"/>
  <c r="O81" i="2"/>
  <c r="R81" i="2"/>
  <c r="W81" i="2"/>
  <c r="P81" i="2"/>
  <c r="Q81" i="2"/>
  <c r="U57" i="2"/>
  <c r="R57" i="2"/>
  <c r="S57" i="2"/>
  <c r="AC57" i="2"/>
  <c r="AB57" i="2"/>
  <c r="N57" i="2"/>
  <c r="K57" i="2"/>
  <c r="M57" i="2"/>
  <c r="O57" i="2"/>
  <c r="Z57" i="2"/>
  <c r="T57" i="2"/>
  <c r="P57" i="2"/>
  <c r="V57" i="2"/>
  <c r="X57" i="2"/>
  <c r="W57" i="2"/>
  <c r="AD57" i="2"/>
  <c r="L57" i="2"/>
  <c r="Y57" i="2"/>
  <c r="AA57" i="2"/>
  <c r="Q57" i="2"/>
  <c r="AE57" i="2"/>
  <c r="J57" i="2"/>
  <c r="W65" i="2"/>
  <c r="Z65" i="2"/>
  <c r="Y65" i="2"/>
  <c r="AE65" i="2"/>
  <c r="AD65" i="2"/>
  <c r="P65" i="2"/>
  <c r="K65" i="2"/>
  <c r="N65" i="2"/>
  <c r="R65" i="2"/>
  <c r="X65" i="2"/>
  <c r="U65" i="2"/>
  <c r="O65" i="2"/>
  <c r="M65" i="2"/>
  <c r="Q65" i="2"/>
  <c r="AA65" i="2"/>
  <c r="V65" i="2"/>
  <c r="T65" i="2"/>
  <c r="AC65" i="2"/>
  <c r="J65" i="2"/>
  <c r="S65" i="2"/>
  <c r="L65" i="2"/>
  <c r="AB65" i="2"/>
  <c r="L36" i="2"/>
  <c r="U36" i="2"/>
  <c r="X36" i="2"/>
  <c r="O36" i="2"/>
  <c r="AD36" i="2"/>
  <c r="K36" i="2"/>
  <c r="M36" i="2"/>
  <c r="W36" i="2"/>
  <c r="Y36" i="2"/>
  <c r="AC36" i="2"/>
  <c r="Q36" i="2"/>
  <c r="Z36" i="2"/>
  <c r="N36" i="2"/>
  <c r="T36" i="2"/>
  <c r="V36" i="2"/>
  <c r="R36" i="2"/>
  <c r="AB36" i="2"/>
  <c r="AA36" i="2"/>
  <c r="AE36" i="2"/>
  <c r="J36" i="2"/>
  <c r="P36" i="2"/>
  <c r="S36" i="2"/>
  <c r="X83" i="2"/>
  <c r="O83" i="2"/>
  <c r="R83" i="2"/>
  <c r="AA83" i="2"/>
  <c r="V83" i="2"/>
  <c r="AC83" i="2"/>
  <c r="Q83" i="2"/>
  <c r="L83" i="2"/>
  <c r="S83" i="2"/>
  <c r="AD83" i="2"/>
  <c r="T83" i="2"/>
  <c r="U83" i="2"/>
  <c r="AE83" i="2"/>
  <c r="M83" i="2"/>
  <c r="P83" i="2"/>
  <c r="AB83" i="2"/>
  <c r="Y83" i="2"/>
  <c r="K83" i="2"/>
  <c r="W83" i="2"/>
  <c r="Z83" i="2"/>
  <c r="J83" i="2"/>
  <c r="N83" i="2"/>
  <c r="V91" i="2"/>
  <c r="W91" i="2"/>
  <c r="AE91" i="2"/>
  <c r="U91" i="2"/>
  <c r="AA91" i="2"/>
  <c r="P91" i="2"/>
  <c r="AB91" i="2"/>
  <c r="AC91" i="2"/>
  <c r="N91" i="2"/>
  <c r="M91" i="2"/>
  <c r="J91" i="2"/>
  <c r="Q91" i="2"/>
  <c r="Y91" i="2"/>
  <c r="Z91" i="2"/>
  <c r="X91" i="2"/>
  <c r="L91" i="2"/>
  <c r="R91" i="2"/>
  <c r="S91" i="2"/>
  <c r="O91" i="2"/>
  <c r="K91" i="2"/>
  <c r="T91" i="2"/>
  <c r="AD91" i="2"/>
  <c r="AD44" i="2"/>
  <c r="Z44" i="2"/>
  <c r="S44" i="2"/>
  <c r="V44" i="2"/>
  <c r="O44" i="2"/>
  <c r="R44" i="2"/>
  <c r="X44" i="2"/>
  <c r="W44" i="2"/>
  <c r="N44" i="2"/>
  <c r="AE44" i="2"/>
  <c r="T44" i="2"/>
  <c r="J44" i="2"/>
  <c r="AA44" i="2"/>
  <c r="AC44" i="2"/>
  <c r="AB44" i="2"/>
  <c r="Y44" i="2"/>
  <c r="Q44" i="2"/>
  <c r="P44" i="2"/>
  <c r="M44" i="2"/>
  <c r="U44" i="2"/>
  <c r="L44" i="2"/>
  <c r="K44" i="2"/>
  <c r="J28" i="2"/>
  <c r="AE28" i="2"/>
  <c r="P28" i="2"/>
  <c r="S28" i="2"/>
  <c r="R28" i="2"/>
  <c r="T28" i="2"/>
  <c r="Z28" i="2"/>
  <c r="AC28" i="2"/>
  <c r="X28" i="2"/>
  <c r="W28" i="2"/>
  <c r="AB28" i="2"/>
  <c r="N28" i="2"/>
  <c r="U28" i="2"/>
  <c r="AD28" i="2"/>
  <c r="L28" i="2"/>
  <c r="O28" i="2"/>
  <c r="M28" i="2"/>
  <c r="Y28" i="2"/>
  <c r="Q28" i="2"/>
  <c r="V28" i="2"/>
  <c r="AA28" i="2"/>
  <c r="K28" i="2"/>
  <c r="T38" i="2"/>
  <c r="AD38" i="2"/>
  <c r="AB38" i="2"/>
  <c r="O38" i="2"/>
  <c r="P38" i="2"/>
  <c r="M38" i="2"/>
  <c r="AE38" i="2"/>
  <c r="X38" i="2"/>
  <c r="U38" i="2"/>
  <c r="Q38" i="2"/>
  <c r="K38" i="2"/>
  <c r="AC38" i="2"/>
  <c r="R38" i="2"/>
  <c r="AA38" i="2"/>
  <c r="Z38" i="2"/>
  <c r="W38" i="2"/>
  <c r="Y38" i="2"/>
  <c r="S38" i="2"/>
  <c r="J38" i="2"/>
  <c r="V38" i="2"/>
  <c r="L38" i="2"/>
  <c r="N38" i="2"/>
  <c r="AA74" i="2"/>
  <c r="AE74" i="2"/>
  <c r="AD74" i="2"/>
  <c r="P74" i="2"/>
  <c r="K74" i="2"/>
  <c r="AC74" i="2"/>
  <c r="Z74" i="2"/>
  <c r="X74" i="2"/>
  <c r="L74" i="2"/>
  <c r="J74" i="2"/>
  <c r="W74" i="2"/>
  <c r="M74" i="2"/>
  <c r="Q74" i="2"/>
  <c r="N74" i="2"/>
  <c r="AB74" i="2"/>
  <c r="U74" i="2"/>
  <c r="Y74" i="2"/>
  <c r="V74" i="2"/>
  <c r="S74" i="2"/>
  <c r="O74" i="2"/>
  <c r="R74" i="2"/>
  <c r="T74" i="2"/>
  <c r="X41" i="2"/>
  <c r="V41" i="2"/>
  <c r="O41" i="2"/>
  <c r="M41" i="2"/>
  <c r="R41" i="2"/>
  <c r="L41" i="2"/>
  <c r="P41" i="2"/>
  <c r="K41" i="2"/>
  <c r="Q41" i="2"/>
  <c r="AA41" i="2"/>
  <c r="Y41" i="2"/>
  <c r="AB41" i="2"/>
  <c r="W41" i="2"/>
  <c r="J41" i="2"/>
  <c r="N41" i="2"/>
  <c r="AE41" i="2"/>
  <c r="Z41" i="2"/>
  <c r="AD41" i="2"/>
  <c r="S41" i="2"/>
  <c r="U41" i="2"/>
  <c r="T41" i="2"/>
  <c r="AC41" i="2"/>
  <c r="AD43" i="2"/>
  <c r="M43" i="2"/>
  <c r="T43" i="2"/>
  <c r="P43" i="2"/>
  <c r="Z43" i="2"/>
  <c r="X43" i="2"/>
  <c r="O43" i="2"/>
  <c r="K43" i="2"/>
  <c r="U43" i="2"/>
  <c r="AB43" i="2"/>
  <c r="S43" i="2"/>
  <c r="J43" i="2"/>
  <c r="Q43" i="2"/>
  <c r="N43" i="2"/>
  <c r="L43" i="2"/>
  <c r="R43" i="2"/>
  <c r="V43" i="2"/>
  <c r="W43" i="2"/>
  <c r="Y43" i="2"/>
  <c r="AC43" i="2"/>
  <c r="AA43" i="2"/>
  <c r="AE43" i="2"/>
  <c r="N72" i="2"/>
  <c r="W72" i="2"/>
  <c r="AB72" i="2"/>
  <c r="X72" i="2"/>
  <c r="AC72" i="2"/>
  <c r="R72" i="2"/>
  <c r="M72" i="2"/>
  <c r="AA72" i="2"/>
  <c r="L72" i="2"/>
  <c r="P72" i="2"/>
  <c r="Y72" i="2"/>
  <c r="U72" i="2"/>
  <c r="K72" i="2"/>
  <c r="S72" i="2"/>
  <c r="J72" i="2"/>
  <c r="AE72" i="2"/>
  <c r="T72" i="2"/>
  <c r="V72" i="2"/>
  <c r="AD72" i="2"/>
  <c r="Q72" i="2"/>
  <c r="Z72" i="2"/>
  <c r="O72" i="2"/>
  <c r="AA30" i="2"/>
  <c r="V30" i="2"/>
  <c r="AE30" i="2"/>
  <c r="S30" i="2"/>
  <c r="O30" i="2"/>
  <c r="L30" i="2"/>
  <c r="W30" i="2"/>
  <c r="Q30" i="2"/>
  <c r="T30" i="2"/>
  <c r="Y30" i="2"/>
  <c r="R30" i="2"/>
  <c r="AB30" i="2"/>
  <c r="J30" i="2"/>
  <c r="U30" i="2"/>
  <c r="P30" i="2"/>
  <c r="M30" i="2"/>
  <c r="Z30" i="2"/>
  <c r="X30" i="2"/>
  <c r="N30" i="2"/>
  <c r="K30" i="2"/>
  <c r="AC30" i="2"/>
  <c r="AD30" i="2"/>
  <c r="N73" i="2"/>
  <c r="R73" i="2"/>
  <c r="W73" i="2"/>
  <c r="V73" i="2"/>
  <c r="Z73" i="2"/>
  <c r="AB73" i="2"/>
  <c r="AD73" i="2"/>
  <c r="K73" i="2"/>
  <c r="L73" i="2"/>
  <c r="P73" i="2"/>
  <c r="S73" i="2"/>
  <c r="AE73" i="2"/>
  <c r="X73" i="2"/>
  <c r="AA73" i="2"/>
  <c r="M73" i="2"/>
  <c r="Y73" i="2"/>
  <c r="T73" i="2"/>
  <c r="Q73" i="2"/>
  <c r="J73" i="2"/>
  <c r="O73" i="2"/>
  <c r="U73" i="2"/>
  <c r="AC73" i="2"/>
  <c r="X96" i="2"/>
  <c r="O96" i="2"/>
  <c r="AB96" i="2"/>
  <c r="AD96" i="2"/>
  <c r="W96" i="2"/>
  <c r="P96" i="2"/>
  <c r="R96" i="2"/>
  <c r="AE96" i="2"/>
  <c r="J96" i="2"/>
  <c r="AC96" i="2"/>
  <c r="T96" i="2"/>
  <c r="N96" i="2"/>
  <c r="K96" i="2"/>
  <c r="Z96" i="2"/>
  <c r="M96" i="2"/>
  <c r="U96" i="2"/>
  <c r="S96" i="2"/>
  <c r="Q96" i="2"/>
  <c r="V96" i="2"/>
  <c r="Y96" i="2"/>
  <c r="L96" i="2"/>
  <c r="AA96" i="2"/>
  <c r="W94" i="2"/>
  <c r="U94" i="2"/>
  <c r="M94" i="2"/>
  <c r="R94" i="2"/>
  <c r="J94" i="2"/>
  <c r="AB94" i="2"/>
  <c r="S94" i="2"/>
  <c r="V94" i="2"/>
  <c r="K94" i="2"/>
  <c r="O94" i="2"/>
  <c r="Q94" i="2"/>
  <c r="AD94" i="2"/>
  <c r="T94" i="2"/>
  <c r="AA94" i="2"/>
  <c r="L94" i="2"/>
  <c r="Y94" i="2"/>
  <c r="Z94" i="2"/>
  <c r="AC94" i="2"/>
  <c r="X94" i="2"/>
  <c r="AE94" i="2"/>
  <c r="N94" i="2"/>
  <c r="P94" i="2"/>
  <c r="L76" i="2"/>
  <c r="AE76" i="2"/>
  <c r="W76" i="2"/>
  <c r="V76" i="2"/>
  <c r="U76" i="2"/>
  <c r="X76" i="2"/>
  <c r="AD76" i="2"/>
  <c r="Y76" i="2"/>
  <c r="J76" i="2"/>
  <c r="S76" i="2"/>
  <c r="AA76" i="2"/>
  <c r="O76" i="2"/>
  <c r="Q76" i="2"/>
  <c r="P76" i="2"/>
  <c r="T76" i="2"/>
  <c r="Z76" i="2"/>
  <c r="AB76" i="2"/>
  <c r="AC76" i="2"/>
  <c r="R76" i="2"/>
  <c r="K76" i="2"/>
  <c r="M76" i="2"/>
  <c r="N76" i="2"/>
  <c r="U42" i="2"/>
  <c r="AA42" i="2"/>
  <c r="Q42" i="2"/>
  <c r="V42" i="2"/>
  <c r="AC42" i="2"/>
  <c r="AB42" i="2"/>
  <c r="X42" i="2"/>
  <c r="AD42" i="2"/>
  <c r="T42" i="2"/>
  <c r="M42" i="2"/>
  <c r="S42" i="2"/>
  <c r="Y42" i="2"/>
  <c r="J42" i="2"/>
  <c r="O42" i="2"/>
  <c r="K42" i="2"/>
  <c r="W42" i="2"/>
  <c r="Z42" i="2"/>
  <c r="N42" i="2"/>
  <c r="R42" i="2"/>
  <c r="AE42" i="2"/>
  <c r="L42" i="2"/>
  <c r="P42" i="2"/>
  <c r="V62" i="2"/>
  <c r="Q62" i="2"/>
  <c r="AA62" i="2"/>
  <c r="AD62" i="2"/>
  <c r="Z62" i="2"/>
  <c r="T62" i="2"/>
  <c r="X62" i="2"/>
  <c r="P62" i="2"/>
  <c r="J62" i="2"/>
  <c r="N62" i="2"/>
  <c r="R62" i="2"/>
  <c r="Y62" i="2"/>
  <c r="S62" i="2"/>
  <c r="U62" i="2"/>
  <c r="AE62" i="2"/>
  <c r="M62" i="2"/>
  <c r="AC62" i="2"/>
  <c r="O62" i="2"/>
  <c r="W62" i="2"/>
  <c r="K62" i="2"/>
  <c r="AB62" i="2"/>
  <c r="L62" i="2"/>
  <c r="AC92" i="2"/>
  <c r="T92" i="2"/>
  <c r="O92" i="2"/>
  <c r="P92" i="2"/>
  <c r="W92" i="2"/>
  <c r="R92" i="2"/>
  <c r="X92" i="2"/>
  <c r="J92" i="2"/>
  <c r="V92" i="2"/>
  <c r="Q92" i="2"/>
  <c r="Z92" i="2"/>
  <c r="AE92" i="2"/>
  <c r="Y92" i="2"/>
  <c r="L92" i="2"/>
  <c r="M92" i="2"/>
  <c r="S92" i="2"/>
  <c r="N92" i="2"/>
  <c r="AA92" i="2"/>
  <c r="AB92" i="2"/>
  <c r="K92" i="2"/>
  <c r="AD92" i="2"/>
  <c r="U92" i="2"/>
  <c r="Z21" i="2"/>
  <c r="M21" i="2"/>
  <c r="R21" i="2"/>
  <c r="T21" i="2"/>
  <c r="W21" i="2"/>
  <c r="X21" i="2"/>
  <c r="AE21" i="2"/>
  <c r="U21" i="2"/>
  <c r="Y21" i="2"/>
  <c r="AD21" i="2"/>
  <c r="AB21" i="2"/>
  <c r="J21" i="2"/>
  <c r="S21" i="2"/>
  <c r="N21" i="2"/>
  <c r="AA21" i="2"/>
  <c r="AC21" i="2"/>
  <c r="Q21" i="2"/>
  <c r="O21" i="2"/>
  <c r="K21" i="2"/>
  <c r="P21" i="2"/>
  <c r="L21" i="2"/>
  <c r="V21" i="2"/>
  <c r="AC95" i="2"/>
  <c r="Y95" i="2"/>
  <c r="AB95" i="2"/>
  <c r="N95" i="2"/>
  <c r="K95" i="2"/>
  <c r="V95" i="2"/>
  <c r="AA95" i="2"/>
  <c r="J95" i="2"/>
  <c r="AD95" i="2"/>
  <c r="AE95" i="2"/>
  <c r="R95" i="2"/>
  <c r="P95" i="2"/>
  <c r="L95" i="2"/>
  <c r="M95" i="2"/>
  <c r="S95" i="2"/>
  <c r="Q95" i="2"/>
  <c r="W95" i="2"/>
  <c r="O95" i="2"/>
  <c r="X95" i="2"/>
  <c r="T95" i="2"/>
  <c r="Z95" i="2"/>
  <c r="U95" i="2"/>
  <c r="P90" i="2"/>
  <c r="W90" i="2"/>
  <c r="M90" i="2"/>
  <c r="AD90" i="2"/>
  <c r="V90" i="2"/>
  <c r="Q90" i="2"/>
  <c r="AE90" i="2"/>
  <c r="U90" i="2"/>
  <c r="AA90" i="2"/>
  <c r="N90" i="2"/>
  <c r="T90" i="2"/>
  <c r="J90" i="2"/>
  <c r="AC90" i="2"/>
  <c r="K90" i="2"/>
  <c r="X90" i="2"/>
  <c r="R90" i="2"/>
  <c r="O90" i="2"/>
  <c r="Y90" i="2"/>
  <c r="Z90" i="2"/>
  <c r="L90" i="2"/>
  <c r="S90" i="2"/>
  <c r="AB90" i="2"/>
  <c r="AC52" i="2"/>
  <c r="Y52" i="2"/>
  <c r="AA52" i="2"/>
  <c r="U52" i="2"/>
  <c r="W52" i="2"/>
  <c r="J52" i="2"/>
  <c r="AD52" i="2"/>
  <c r="K52" i="2"/>
  <c r="L52" i="2"/>
  <c r="N52" i="2"/>
  <c r="Q52" i="2"/>
  <c r="M52" i="2"/>
  <c r="AE52" i="2"/>
  <c r="T52" i="2"/>
  <c r="Z52" i="2"/>
  <c r="P52" i="2"/>
  <c r="V52" i="2"/>
  <c r="R52" i="2"/>
  <c r="X52" i="2"/>
  <c r="AB52" i="2"/>
  <c r="S52" i="2"/>
  <c r="O52" i="2"/>
  <c r="X75" i="2"/>
  <c r="AC75" i="2"/>
  <c r="AD75" i="2"/>
  <c r="Y75" i="2"/>
  <c r="R75" i="2"/>
  <c r="W75" i="2"/>
  <c r="Z75" i="2"/>
  <c r="V75" i="2"/>
  <c r="P75" i="2"/>
  <c r="AB75" i="2"/>
  <c r="L75" i="2"/>
  <c r="O75" i="2"/>
  <c r="AE75" i="2"/>
  <c r="M75" i="2"/>
  <c r="J75" i="2"/>
  <c r="K75" i="2"/>
  <c r="T75" i="2"/>
  <c r="N75" i="2"/>
  <c r="Q75" i="2"/>
  <c r="U75" i="2"/>
  <c r="AA75" i="2"/>
  <c r="S75" i="2"/>
  <c r="P59" i="2"/>
  <c r="R59" i="2"/>
  <c r="L59" i="2"/>
  <c r="W59" i="2"/>
  <c r="S59" i="2"/>
  <c r="Q59" i="2"/>
  <c r="AD59" i="2"/>
  <c r="J59" i="2"/>
  <c r="U59" i="2"/>
  <c r="T59" i="2"/>
  <c r="AE59" i="2"/>
  <c r="V59" i="2"/>
  <c r="Y59" i="2"/>
  <c r="AA59" i="2"/>
  <c r="O59" i="2"/>
  <c r="AB59" i="2"/>
  <c r="K59" i="2"/>
  <c r="Z59" i="2"/>
  <c r="M59" i="2"/>
  <c r="AC59" i="2"/>
  <c r="X59" i="2"/>
  <c r="N59" i="2"/>
  <c r="U80" i="2"/>
  <c r="Z80" i="2"/>
  <c r="T80" i="2"/>
  <c r="Y80" i="2"/>
  <c r="O80" i="2"/>
  <c r="AB80" i="2"/>
  <c r="J80" i="2"/>
  <c r="N80" i="2"/>
  <c r="AA80" i="2"/>
  <c r="X80" i="2"/>
  <c r="W80" i="2"/>
  <c r="L80" i="2"/>
  <c r="R80" i="2"/>
  <c r="M80" i="2"/>
  <c r="AC80" i="2"/>
  <c r="AD80" i="2"/>
  <c r="Q80" i="2"/>
  <c r="V80" i="2"/>
  <c r="K80" i="2"/>
  <c r="S80" i="2"/>
  <c r="P80" i="2"/>
  <c r="AE80" i="2"/>
  <c r="Q53" i="2"/>
  <c r="T53" i="2"/>
  <c r="U53" i="2"/>
  <c r="J53" i="2"/>
  <c r="W53" i="2"/>
  <c r="AA53" i="2"/>
  <c r="R53" i="2"/>
  <c r="AE53" i="2"/>
  <c r="S53" i="2"/>
  <c r="N53" i="2"/>
  <c r="AD53" i="2"/>
  <c r="K53" i="2"/>
  <c r="L53" i="2"/>
  <c r="X53" i="2"/>
  <c r="AC53" i="2"/>
  <c r="Z53" i="2"/>
  <c r="V53" i="2"/>
  <c r="O53" i="2"/>
  <c r="M53" i="2"/>
  <c r="Y53" i="2"/>
  <c r="P53" i="2"/>
  <c r="AB53" i="2"/>
  <c r="T24" i="2"/>
  <c r="N24" i="2"/>
  <c r="O24" i="2"/>
  <c r="K24" i="2"/>
  <c r="AA24" i="2"/>
  <c r="AB24" i="2"/>
  <c r="L24" i="2"/>
  <c r="Q24" i="2"/>
  <c r="S24" i="2"/>
  <c r="V24" i="2"/>
  <c r="AE24" i="2"/>
  <c r="X24" i="2"/>
  <c r="Z24" i="2"/>
  <c r="AD24" i="2"/>
  <c r="U24" i="2"/>
  <c r="M24" i="2"/>
  <c r="R24" i="2"/>
  <c r="P24" i="2"/>
  <c r="W24" i="2"/>
  <c r="AC24" i="2"/>
  <c r="Y24" i="2"/>
  <c r="J24" i="2"/>
  <c r="J69" i="2"/>
  <c r="L69" i="2"/>
  <c r="Y69" i="2"/>
  <c r="R69" i="2"/>
  <c r="AB69" i="2"/>
  <c r="AA69" i="2"/>
  <c r="Z69" i="2"/>
  <c r="U69" i="2"/>
  <c r="K69" i="2"/>
  <c r="V69" i="2"/>
  <c r="AD69" i="2"/>
  <c r="T69" i="2"/>
  <c r="X69" i="2"/>
  <c r="W69" i="2"/>
  <c r="Q69" i="2"/>
  <c r="M69" i="2"/>
  <c r="P69" i="2"/>
  <c r="AE69" i="2"/>
  <c r="S69" i="2"/>
  <c r="AC69" i="2"/>
  <c r="N69" i="2"/>
  <c r="O69" i="2"/>
  <c r="K68" i="2"/>
  <c r="P68" i="2"/>
  <c r="T68" i="2"/>
  <c r="S68" i="2"/>
  <c r="J68" i="2"/>
  <c r="AB68" i="2"/>
  <c r="M68" i="2"/>
  <c r="X68" i="2"/>
  <c r="L68" i="2"/>
  <c r="AE68" i="2"/>
  <c r="AA68" i="2"/>
  <c r="R68" i="2"/>
  <c r="Z68" i="2"/>
  <c r="N68" i="2"/>
  <c r="Y68" i="2"/>
  <c r="Q68" i="2"/>
  <c r="AC68" i="2"/>
  <c r="V68" i="2"/>
  <c r="W68" i="2"/>
  <c r="O68" i="2"/>
  <c r="U68" i="2"/>
  <c r="AD68" i="2"/>
  <c r="I165" i="2"/>
  <c r="AA17" i="2" l="1"/>
  <c r="AD17" i="2"/>
  <c r="J17" i="2"/>
  <c r="N17" i="2"/>
  <c r="Y17" i="2"/>
  <c r="U17" i="2"/>
  <c r="O17" i="2"/>
  <c r="O165" i="2" s="1"/>
  <c r="R17" i="2"/>
  <c r="P17" i="2"/>
  <c r="P165" i="2" s="1"/>
  <c r="L17" i="2"/>
  <c r="S17" i="2"/>
  <c r="X17" i="2"/>
  <c r="V17" i="2"/>
  <c r="Z17" i="2"/>
  <c r="Q17" i="2"/>
  <c r="Q165" i="2" s="1"/>
  <c r="AB17" i="2"/>
  <c r="M17" i="2"/>
  <c r="AE17" i="2"/>
  <c r="W17" i="2"/>
  <c r="T17" i="2"/>
  <c r="T165" i="2" s="1"/>
  <c r="K17" i="2"/>
  <c r="AC17" i="2"/>
</calcChain>
</file>

<file path=xl/sharedStrings.xml><?xml version="1.0" encoding="utf-8"?>
<sst xmlns="http://schemas.openxmlformats.org/spreadsheetml/2006/main" count="592" uniqueCount="222">
  <si>
    <t>Indoor Requirement</t>
  </si>
  <si>
    <t>Capacity (KW)</t>
  </si>
  <si>
    <t>AFR</t>
  </si>
  <si>
    <t>Temperature</t>
  </si>
  <si>
    <t>ESP</t>
  </si>
  <si>
    <t>Power Supply</t>
  </si>
  <si>
    <t>Dimensions</t>
  </si>
  <si>
    <t>Weight</t>
  </si>
  <si>
    <t>TC</t>
  </si>
  <si>
    <t>SC</t>
  </si>
  <si>
    <t>L/S</t>
  </si>
  <si>
    <t>degC</t>
  </si>
  <si>
    <t>Indoor/Outdoor</t>
  </si>
  <si>
    <t>Outdoor</t>
  </si>
  <si>
    <t>Indoor, mm</t>
  </si>
  <si>
    <t>Outdoor, mm</t>
  </si>
  <si>
    <t>Indoor</t>
  </si>
  <si>
    <t>Refrigerant</t>
  </si>
  <si>
    <t>W/W</t>
  </si>
  <si>
    <t>H</t>
  </si>
  <si>
    <t>W</t>
  </si>
  <si>
    <t>D</t>
  </si>
  <si>
    <t>kg</t>
  </si>
  <si>
    <t>DAIKIN-PROPOSED</t>
  </si>
  <si>
    <t>Model</t>
  </si>
  <si>
    <t>COP</t>
  </si>
  <si>
    <t>220-240/1/50</t>
  </si>
  <si>
    <t>380-415/3/50</t>
  </si>
  <si>
    <t>-</t>
  </si>
  <si>
    <t>TYPE</t>
  </si>
  <si>
    <t>24/16</t>
  </si>
  <si>
    <t>25/18</t>
  </si>
  <si>
    <t>R-410A</t>
  </si>
  <si>
    <t xml:space="preserve">R-32 </t>
  </si>
  <si>
    <t>SPEED</t>
  </si>
  <si>
    <t>MEDIUM</t>
  </si>
  <si>
    <t>24/17</t>
  </si>
  <si>
    <t>HIGH</t>
  </si>
  <si>
    <t>DUCTED</t>
  </si>
  <si>
    <t>MALAYSIA</t>
  </si>
  <si>
    <t>INDIA</t>
  </si>
  <si>
    <t>WALL MOUNTED</t>
  </si>
  <si>
    <t>THAILAND</t>
  </si>
  <si>
    <t>PACKAGED UNIT</t>
  </si>
  <si>
    <t>NOMINAL TR</t>
  </si>
  <si>
    <t>Type</t>
  </si>
  <si>
    <t>Non-Inverter</t>
  </si>
  <si>
    <t>Inverter</t>
  </si>
  <si>
    <t>FDMRN20AVKU - RR20AVKU</t>
  </si>
  <si>
    <t>FDMRN25AVKU - RR25AVKU</t>
  </si>
  <si>
    <t>FDMRN30AVKU - RR30AVKU</t>
  </si>
  <si>
    <t>FDMRN36AVKU - RR36AVKU</t>
  </si>
  <si>
    <t>FDMRN50AVKU - RR50AYKU</t>
  </si>
  <si>
    <t>FDMRN60AVKU - RR60AYKU</t>
  </si>
  <si>
    <t>FDMF18AVMK9 - RZF18AVMK9</t>
  </si>
  <si>
    <t>FDMF24AVMK9 - RZF24AVMK9</t>
  </si>
  <si>
    <t>FDMF30AVMK9 - RZF30AVMK9</t>
  </si>
  <si>
    <t>FDMF36AVMK - RZF36AVMK</t>
  </si>
  <si>
    <t>FDMF48AVMK - RZF48AYMK</t>
  </si>
  <si>
    <t>FDMF54AVMK - RZF54AYMK</t>
  </si>
  <si>
    <t>FTKF12TVMVZK - RKFG12TVMVZK</t>
  </si>
  <si>
    <t>FTKF18TVMUZK - RKFG18TVMUZK</t>
  </si>
  <si>
    <t>FTKF24TVMTZK - RKFG24TVMTZK</t>
  </si>
  <si>
    <t>FTKM18PVM - RKM18PVM</t>
  </si>
  <si>
    <t>FTKM24PVM - RKM24PVM</t>
  </si>
  <si>
    <t>FTKM28PVM - RKM28PVM</t>
  </si>
  <si>
    <t>UATQ180CGXY1U</t>
  </si>
  <si>
    <t>UATQ210CGXY1U</t>
  </si>
  <si>
    <t>UATQ240CGXY1U</t>
  </si>
  <si>
    <t>UATQ300CGXY1U</t>
  </si>
  <si>
    <t>Power Input, KW</t>
  </si>
  <si>
    <t xml:space="preserve">Actual </t>
  </si>
  <si>
    <t>ESMA</t>
  </si>
  <si>
    <t>SPECIFIED</t>
  </si>
  <si>
    <t>Ref</t>
  </si>
  <si>
    <t>Location</t>
  </si>
  <si>
    <t>TKw</t>
  </si>
  <si>
    <t>SKw</t>
  </si>
  <si>
    <t>PROPOSED</t>
  </si>
  <si>
    <t>Qty</t>
  </si>
  <si>
    <t>Client:</t>
  </si>
  <si>
    <t>Contractor:</t>
  </si>
  <si>
    <t>Match</t>
  </si>
  <si>
    <t>CHOOSE MANUALLY</t>
  </si>
  <si>
    <t>TKw Variation</t>
  </si>
  <si>
    <t>SKw Variation</t>
  </si>
  <si>
    <t>L/S Variation</t>
  </si>
  <si>
    <t>Ind</t>
  </si>
  <si>
    <t>Max Ind</t>
  </si>
  <si>
    <t>Final Selection</t>
  </si>
  <si>
    <t>Index</t>
  </si>
  <si>
    <t>Ind TKw</t>
  </si>
  <si>
    <t>TKW</t>
  </si>
  <si>
    <t>SKW</t>
  </si>
  <si>
    <t>Ind SKw</t>
  </si>
  <si>
    <t>Ind L/S</t>
  </si>
  <si>
    <t>Tkw</t>
  </si>
  <si>
    <t>Variation</t>
  </si>
  <si>
    <t>Model ( Indoor / Outdoor )</t>
  </si>
  <si>
    <t>DO NOT DELETE/TAMPER WITH THESE COLUMNS</t>
  </si>
  <si>
    <t>UATQ80CGXY1U</t>
  </si>
  <si>
    <t>UATQ160CGXY1U</t>
  </si>
  <si>
    <t>UG-DS-01</t>
  </si>
  <si>
    <t>GF-DS-01</t>
  </si>
  <si>
    <t>GF-DS-02</t>
  </si>
  <si>
    <t>GF-DS-03</t>
  </si>
  <si>
    <t>GF-DS-04</t>
  </si>
  <si>
    <t>GF-DS-05</t>
  </si>
  <si>
    <t>PD-DS-01</t>
  </si>
  <si>
    <t>1F-DS-01</t>
  </si>
  <si>
    <t>1F-DS-02</t>
  </si>
  <si>
    <t>1F-DS-03</t>
  </si>
  <si>
    <t>1F-DS-04</t>
  </si>
  <si>
    <t>1F-DS-05</t>
  </si>
  <si>
    <t>1F-DS-06</t>
  </si>
  <si>
    <t>1F-DS-07</t>
  </si>
  <si>
    <t>1F-DS-08</t>
  </si>
  <si>
    <t>1F-DS-09</t>
  </si>
  <si>
    <t>1F-DS-10</t>
  </si>
  <si>
    <t>1F-DS-11</t>
  </si>
  <si>
    <t>1F-DS-12</t>
  </si>
  <si>
    <t>1F-DS-13</t>
  </si>
  <si>
    <t>1F-DS-14</t>
  </si>
  <si>
    <t>1F-DS-15</t>
  </si>
  <si>
    <t>1F-DS-16A</t>
  </si>
  <si>
    <t>1F-DS-16B</t>
  </si>
  <si>
    <t>1F-DS-17</t>
  </si>
  <si>
    <t>1F-DS-18</t>
  </si>
  <si>
    <t>2F-DS-01</t>
  </si>
  <si>
    <t>2F-DS-02</t>
  </si>
  <si>
    <t>2F-DS-03</t>
  </si>
  <si>
    <t>2F-DS-04</t>
  </si>
  <si>
    <t>2F-DS-05</t>
  </si>
  <si>
    <t>2F-DS-06</t>
  </si>
  <si>
    <t>2F-DS-07</t>
  </si>
  <si>
    <t>2F-DS-08</t>
  </si>
  <si>
    <t>2F-DS-09</t>
  </si>
  <si>
    <t>2F-DS-10</t>
  </si>
  <si>
    <t>2F-DS-11</t>
  </si>
  <si>
    <t>2F-DS-12</t>
  </si>
  <si>
    <t>2F-DS-13</t>
  </si>
  <si>
    <t>2F-DS-14</t>
  </si>
  <si>
    <t>2F-DS-15</t>
  </si>
  <si>
    <t>2F-DS-16</t>
  </si>
  <si>
    <t>2F-DS-17A</t>
  </si>
  <si>
    <t>2F-DS-17B</t>
  </si>
  <si>
    <t>2F-DS-18</t>
  </si>
  <si>
    <t>TP-DS-01</t>
  </si>
  <si>
    <t>TP-DS-02</t>
  </si>
  <si>
    <t>TP-DS-03</t>
  </si>
  <si>
    <t>TP-DS-04</t>
  </si>
  <si>
    <t>TP-DS-05</t>
  </si>
  <si>
    <t>TP-DS-06</t>
  </si>
  <si>
    <t>TP-DS-07</t>
  </si>
  <si>
    <t>TP-DS-08</t>
  </si>
  <si>
    <t>TP-DS-09</t>
  </si>
  <si>
    <t>TP-DS-10</t>
  </si>
  <si>
    <t>TP-DS-11</t>
  </si>
  <si>
    <t>TP-DS-12</t>
  </si>
  <si>
    <t>TP-DS-13</t>
  </si>
  <si>
    <t>TP-DS-14</t>
  </si>
  <si>
    <t>TP-DS-15</t>
  </si>
  <si>
    <t>TP-DS-16</t>
  </si>
  <si>
    <t>TP-DS-17</t>
  </si>
  <si>
    <t>TP-DS-18A</t>
  </si>
  <si>
    <t>TP-DS-18B</t>
  </si>
  <si>
    <t>TP-DS-19</t>
  </si>
  <si>
    <t>5F-DS-01</t>
  </si>
  <si>
    <t>5F-DS-02</t>
  </si>
  <si>
    <t>5F-DS-03</t>
  </si>
  <si>
    <t>5F-DS-04</t>
  </si>
  <si>
    <t>5F-DS-05</t>
  </si>
  <si>
    <t>5F-DS-06</t>
  </si>
  <si>
    <t>5F-DS-07</t>
  </si>
  <si>
    <t>5F-DS-08</t>
  </si>
  <si>
    <t>5F-DS-09</t>
  </si>
  <si>
    <t>5F-DS-10</t>
  </si>
  <si>
    <t>5F-DS-11</t>
  </si>
  <si>
    <t>5F-DS-12A</t>
  </si>
  <si>
    <t>5F-DS-12B</t>
  </si>
  <si>
    <t>5F-DS-13</t>
  </si>
  <si>
    <t>RF-DS-01</t>
  </si>
  <si>
    <t>RF-DS-02</t>
  </si>
  <si>
    <t>PUMP ROOM</t>
  </si>
  <si>
    <t>MAIN ENTRANCE</t>
  </si>
  <si>
    <t>LV ROOM</t>
  </si>
  <si>
    <t>TELEPHONE ROOM</t>
  </si>
  <si>
    <t>GARBAGE ROOM</t>
  </si>
  <si>
    <t>CCTV ROOM</t>
  </si>
  <si>
    <t>LIFT LOBBY</t>
  </si>
  <si>
    <t>APT 01</t>
  </si>
  <si>
    <t>APT 02</t>
  </si>
  <si>
    <t>APT 03</t>
  </si>
  <si>
    <t>APT 04</t>
  </si>
  <si>
    <t>APT 05</t>
  </si>
  <si>
    <t>APT 06</t>
  </si>
  <si>
    <t>APT 07</t>
  </si>
  <si>
    <t>APT 08</t>
  </si>
  <si>
    <t>APT 09</t>
  </si>
  <si>
    <t>APT 10</t>
  </si>
  <si>
    <t>APT 11</t>
  </si>
  <si>
    <t>APT 12</t>
  </si>
  <si>
    <t>APT 13</t>
  </si>
  <si>
    <t>APT 14</t>
  </si>
  <si>
    <t>APT 15</t>
  </si>
  <si>
    <t>APT 16</t>
  </si>
  <si>
    <t>APT 16 L&amp;D</t>
  </si>
  <si>
    <t>APT 17 L&amp;D</t>
  </si>
  <si>
    <t>APT 18 L&amp;D</t>
  </si>
  <si>
    <t>APT 16 BEDROOM</t>
  </si>
  <si>
    <t xml:space="preserve">GYMNASIUM </t>
  </si>
  <si>
    <t>CORRIDOR</t>
  </si>
  <si>
    <t>APT 17</t>
  </si>
  <si>
    <t>APT 17 BEDROOM</t>
  </si>
  <si>
    <t>APT 18 BEDROOM</t>
  </si>
  <si>
    <t>APT 12 L&amp;D</t>
  </si>
  <si>
    <t>APT 12 BEDROOM</t>
  </si>
  <si>
    <t>GSM ROOM</t>
  </si>
  <si>
    <t>ELECTRICAL ROOM</t>
  </si>
  <si>
    <t>Project</t>
  </si>
  <si>
    <t>{Project}</t>
  </si>
  <si>
    <t>{Customer}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</si>
</sst>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7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22" xfId="0" applyFont="1" applyFill="1" applyBorder="1" applyAlignment="1" applyProtection="1">
      <alignment horizontal="center" vertical="center" wrapText="1"/>
      <protection locked="0"/>
    </xf>
    <xf numFmtId="2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2" fontId="4" fillId="0" borderId="12" xfId="0" applyNumberFormat="1" applyFont="1" applyBorder="1" applyAlignment="1">
      <alignment horizontal="center" vertical="center" wrapText="1"/>
    </xf>
    <xf numFmtId="2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2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3" borderId="16" xfId="0" applyFont="1" applyFill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3" borderId="2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5" fillId="4" borderId="0" xfId="0" applyFont="1" applyFill="1" applyAlignment="1">
      <alignment wrapText="1"/>
    </xf>
    <xf numFmtId="0" fontId="2" fillId="4" borderId="0" xfId="0" applyFont="1" applyFill="1"/>
    <xf numFmtId="0" fontId="8" fillId="4" borderId="0" xfId="0" applyFont="1" applyFill="1" applyAlignment="1">
      <alignment wrapText="1"/>
    </xf>
    <xf numFmtId="0" fontId="8" fillId="4" borderId="0" xfId="0" applyFont="1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/>
    <xf numFmtId="0" fontId="8" fillId="4" borderId="0" xfId="0" applyFont="1" applyFill="1"/>
    <xf numFmtId="0" fontId="2" fillId="4" borderId="0" xfId="0" applyFont="1" applyFill="1" applyAlignment="1">
      <alignment horizontal="left" wrapText="1"/>
    </xf>
    <xf numFmtId="9" fontId="0" fillId="0" borderId="0" xfId="2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9" fontId="2" fillId="4" borderId="1" xfId="2" applyFont="1" applyFill="1" applyBorder="1" applyAlignment="1">
      <alignment horizontal="center" wrapText="1"/>
    </xf>
    <xf numFmtId="0" fontId="2" fillId="4" borderId="0" xfId="0" applyFont="1" applyFill="1" applyAlignment="1">
      <alignment horizontal="right" wrapText="1"/>
    </xf>
    <xf numFmtId="0" fontId="0" fillId="4" borderId="0" xfId="0" applyFill="1" applyAlignment="1">
      <alignment horizontal="right" wrapText="1"/>
    </xf>
    <xf numFmtId="0" fontId="10" fillId="4" borderId="1" xfId="0" applyFont="1" applyFill="1" applyBorder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27" xfId="0" applyFont="1" applyFill="1" applyBorder="1" applyAlignment="1">
      <alignment horizontal="center" vertical="center" wrapText="1"/>
    </xf>
    <xf numFmtId="1" fontId="6" fillId="0" borderId="17" xfId="0" applyNumberFormat="1" applyFont="1" applyBorder="1" applyAlignment="1" applyProtection="1">
      <alignment horizontal="center" vertical="center"/>
      <protection locked="0"/>
    </xf>
    <xf numFmtId="1" fontId="6" fillId="0" borderId="8" xfId="0" applyNumberFormat="1" applyFont="1" applyBorder="1" applyAlignment="1" applyProtection="1">
      <alignment horizontal="center" vertical="center"/>
      <protection locked="0"/>
    </xf>
    <xf numFmtId="1" fontId="6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9" fillId="5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vertical="center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3" borderId="25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374725</xdr:colOff>
      <xdr:row>2</xdr:row>
      <xdr:rowOff>38121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6350"/>
          <a:ext cx="1466925" cy="400071"/>
        </a:xfrm>
        <a:prstGeom prst="rect">
          <a:avLst/>
        </a:prstGeom>
      </xdr:spPr>
    </xdr:pic>
    <xdr:clientData/>
  </xdr:twoCellAnchor>
  <xdr:twoCellAnchor editAs="oneCell">
    <xdr:from>
      <xdr:col>27</xdr:col>
      <xdr:colOff>311150</xdr:colOff>
      <xdr:row>0</xdr:row>
      <xdr:rowOff>146050</xdr:rowOff>
    </xdr:from>
    <xdr:to>
      <xdr:col>30</xdr:col>
      <xdr:colOff>463627</xdr:colOff>
      <xdr:row>3</xdr:row>
      <xdr:rowOff>3357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6250" y="146050"/>
          <a:ext cx="1524078" cy="419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4F57-31F3-42C8-8828-6610FD6A6A69}">
  <sheetPr codeName="Sheet1">
    <pageSetUpPr fitToPage="1"/>
  </sheetPr>
  <dimension ref="B4:AO165"/>
  <sheetViews>
    <sheetView tabSelected="1" zoomScale="59" zoomScaleNormal="115" workbookViewId="0">
      <selection activeCell="S31" sqref="S31"/>
    </sheetView>
  </sheetViews>
  <sheetFormatPr defaultRowHeight="14.4" x14ac:dyDescent="0.3"/>
  <cols>
    <col min="1" max="1" width="4.88671875" customWidth="1"/>
    <col min="2" max="2" width="15.6640625" style="1" bestFit="1" customWidth="1"/>
    <col min="3" max="3" width="16.109375" style="1" customWidth="1"/>
    <col min="4" max="4" width="19.44140625" style="1" bestFit="1" customWidth="1"/>
    <col min="5" max="5" width="8.88671875" style="1" customWidth="1"/>
    <col min="6" max="6" width="8.6640625" style="1" customWidth="1"/>
    <col min="7" max="7" width="8.33203125" style="1" customWidth="1"/>
    <col min="8" max="8" width="30.88671875" style="1" bestFit="1" customWidth="1"/>
    <col min="9" max="9" width="6.109375" style="1" customWidth="1"/>
    <col min="10" max="10" width="9.33203125" style="1" customWidth="1"/>
    <col min="11" max="11" width="14.109375" style="1" customWidth="1"/>
    <col min="12" max="12" width="11.6640625" style="1" customWidth="1"/>
    <col min="13" max="13" width="8.88671875" style="1" customWidth="1"/>
    <col min="14" max="14" width="8.44140625" style="1" customWidth="1"/>
    <col min="15" max="15" width="8.109375" style="1" customWidth="1"/>
    <col min="16" max="16" width="7.33203125" style="1" customWidth="1"/>
    <col min="17" max="17" width="9.44140625" style="1" customWidth="1"/>
    <col min="18" max="18" width="10.109375" style="1" customWidth="1"/>
    <col min="19" max="19" width="6.44140625" style="1" customWidth="1"/>
    <col min="20" max="20" width="6.88671875" style="1" bestFit="1" customWidth="1"/>
    <col min="21" max="21" width="8.109375" style="1" customWidth="1"/>
    <col min="22" max="22" width="6.5546875" style="1" customWidth="1"/>
    <col min="23" max="23" width="12.5546875" style="1" customWidth="1"/>
    <col min="24" max="24" width="7.44140625" style="1" customWidth="1"/>
    <col min="25" max="26" width="5.88671875" style="1" customWidth="1"/>
    <col min="27" max="27" width="5.109375" style="1" customWidth="1"/>
    <col min="28" max="28" width="5.6640625" style="1" customWidth="1"/>
    <col min="29" max="29" width="5.6640625" customWidth="1"/>
    <col min="33" max="33" width="7.5546875" hidden="1" customWidth="1"/>
    <col min="34" max="35" width="13" hidden="1" customWidth="1"/>
    <col min="36" max="36" width="7.5546875" hidden="1" customWidth="1"/>
    <col min="37" max="37" width="7.44140625" hidden="1" customWidth="1"/>
    <col min="38" max="38" width="6.5546875" hidden="1" customWidth="1"/>
    <col min="39" max="39" width="7.5546875" hidden="1" customWidth="1"/>
    <col min="40" max="40" width="12.6640625" hidden="1" customWidth="1"/>
    <col min="41" max="41" width="4.109375" hidden="1" customWidth="1"/>
    <col min="43" max="43" width="12.44140625" bestFit="1" customWidth="1"/>
    <col min="44" max="44" width="11.5546875" bestFit="1" customWidth="1"/>
  </cols>
  <sheetData>
    <row r="4" spans="2:41" ht="12.9" customHeight="1" x14ac:dyDescent="0.3">
      <c r="B4" s="32" t="s">
        <v>219</v>
      </c>
      <c r="C4" s="86" t="s">
        <v>220</v>
      </c>
      <c r="D4" s="34"/>
      <c r="E4" s="34"/>
      <c r="F4" s="34"/>
      <c r="G4" s="34"/>
      <c r="H4" s="34"/>
      <c r="I4" s="34"/>
      <c r="J4" s="34"/>
      <c r="K4" s="34"/>
      <c r="L4" s="34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2:41" ht="12.9" customHeight="1" x14ac:dyDescent="0.3">
      <c r="B5" s="32" t="s">
        <v>80</v>
      </c>
      <c r="C5" s="86" t="s">
        <v>221</v>
      </c>
      <c r="D5" s="34"/>
      <c r="E5" s="34"/>
      <c r="F5" s="34"/>
      <c r="G5" s="34"/>
      <c r="H5" s="34"/>
      <c r="I5" s="34"/>
      <c r="J5" s="34"/>
      <c r="K5" s="34"/>
      <c r="L5" s="34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2:41" ht="12.9" customHeight="1" x14ac:dyDescent="0.3">
      <c r="B6" s="32"/>
      <c r="C6" s="38"/>
      <c r="D6" s="34"/>
      <c r="E6" s="34"/>
      <c r="F6" s="34"/>
      <c r="G6" s="34"/>
      <c r="H6" s="34"/>
      <c r="I6" s="34"/>
      <c r="J6" s="34"/>
      <c r="K6" s="34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2:41" hidden="1" x14ac:dyDescent="0.3">
      <c r="B7" s="33" t="s">
        <v>81</v>
      </c>
      <c r="C7" s="48"/>
      <c r="D7" s="35"/>
      <c r="E7" s="35"/>
      <c r="F7" s="35"/>
      <c r="G7" s="35"/>
      <c r="H7" s="35"/>
      <c r="I7" s="36"/>
      <c r="U7"/>
    </row>
    <row r="8" spans="2:41" s="54" customFormat="1" hidden="1" x14ac:dyDescent="0.3">
      <c r="B8" s="49"/>
      <c r="C8" s="50"/>
      <c r="D8" s="62" t="s">
        <v>82</v>
      </c>
      <c r="E8" s="64" t="s">
        <v>96</v>
      </c>
      <c r="F8" s="59"/>
      <c r="G8" s="59"/>
      <c r="H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V8" s="53"/>
      <c r="W8" s="53"/>
      <c r="X8" s="53"/>
      <c r="Y8" s="53"/>
      <c r="Z8" s="53"/>
      <c r="AA8" s="53"/>
      <c r="AB8" s="53"/>
    </row>
    <row r="9" spans="2:41" s="54" customFormat="1" hidden="1" x14ac:dyDescent="0.3">
      <c r="B9" s="49"/>
      <c r="C9" s="55"/>
      <c r="D9" s="63"/>
      <c r="E9" s="60"/>
      <c r="F9" s="60" t="b">
        <v>1</v>
      </c>
      <c r="G9" s="60" t="b">
        <v>0</v>
      </c>
      <c r="H9" s="56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V9" s="53"/>
      <c r="W9" s="53"/>
      <c r="X9" s="53"/>
      <c r="Y9" s="53"/>
      <c r="Z9" s="53"/>
      <c r="AA9" s="53"/>
      <c r="AB9" s="53"/>
    </row>
    <row r="10" spans="2:41" s="54" customFormat="1" hidden="1" x14ac:dyDescent="0.3">
      <c r="B10" s="49"/>
      <c r="C10" s="55"/>
      <c r="D10" s="62" t="s">
        <v>97</v>
      </c>
      <c r="E10" s="61">
        <v>0</v>
      </c>
      <c r="F10" s="61">
        <v>0</v>
      </c>
      <c r="G10" s="61">
        <v>0</v>
      </c>
      <c r="H10" s="51"/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V10" s="53"/>
      <c r="W10" s="53"/>
      <c r="X10" s="53"/>
      <c r="Y10" s="53"/>
      <c r="Z10" s="53"/>
      <c r="AA10" s="53"/>
      <c r="AB10" s="53"/>
    </row>
    <row r="11" spans="2:41" ht="5.0999999999999996" customHeight="1" thickBot="1" x14ac:dyDescent="0.35"/>
    <row r="12" spans="2:41" ht="15" customHeight="1" thickBot="1" x14ac:dyDescent="0.35">
      <c r="B12" s="103" t="s">
        <v>73</v>
      </c>
      <c r="C12" s="104"/>
      <c r="D12" s="104"/>
      <c r="E12" s="104"/>
      <c r="F12" s="104"/>
      <c r="G12" s="105"/>
      <c r="H12" s="111" t="s">
        <v>78</v>
      </c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2"/>
    </row>
    <row r="13" spans="2:41" ht="14.4" customHeight="1" x14ac:dyDescent="0.3">
      <c r="B13" s="106" t="s">
        <v>74</v>
      </c>
      <c r="C13" s="108" t="s">
        <v>45</v>
      </c>
      <c r="D13" s="108" t="s">
        <v>75</v>
      </c>
      <c r="E13" s="97" t="s">
        <v>76</v>
      </c>
      <c r="F13" s="97" t="s">
        <v>77</v>
      </c>
      <c r="G13" s="100" t="s">
        <v>10</v>
      </c>
      <c r="H13" s="88" t="s">
        <v>98</v>
      </c>
      <c r="I13" s="93" t="s">
        <v>79</v>
      </c>
      <c r="J13" s="93" t="s">
        <v>44</v>
      </c>
      <c r="K13" s="93" t="s">
        <v>45</v>
      </c>
      <c r="L13" s="93" t="s">
        <v>17</v>
      </c>
      <c r="M13" s="96" t="s">
        <v>3</v>
      </c>
      <c r="N13" s="96"/>
      <c r="O13" s="114" t="s">
        <v>1</v>
      </c>
      <c r="P13" s="114"/>
      <c r="Q13" s="31" t="s">
        <v>2</v>
      </c>
      <c r="R13" s="115" t="s">
        <v>34</v>
      </c>
      <c r="S13" s="117" t="s">
        <v>70</v>
      </c>
      <c r="T13" s="118"/>
      <c r="U13" s="96" t="s">
        <v>25</v>
      </c>
      <c r="V13" s="96" t="s">
        <v>4</v>
      </c>
      <c r="W13" s="96" t="s">
        <v>5</v>
      </c>
      <c r="X13" s="96" t="s">
        <v>6</v>
      </c>
      <c r="Y13" s="96"/>
      <c r="Z13" s="96"/>
      <c r="AA13" s="96" t="s">
        <v>6</v>
      </c>
      <c r="AB13" s="96"/>
      <c r="AC13" s="96"/>
      <c r="AD13" s="96" t="s">
        <v>7</v>
      </c>
      <c r="AE13" s="113"/>
      <c r="AG13" s="87" t="s">
        <v>99</v>
      </c>
      <c r="AH13" s="87"/>
      <c r="AI13" s="87"/>
      <c r="AJ13" s="87"/>
      <c r="AK13" s="87"/>
      <c r="AL13" s="87"/>
      <c r="AM13" s="87"/>
      <c r="AN13" s="87"/>
      <c r="AO13" s="87"/>
    </row>
    <row r="14" spans="2:41" ht="14.4" customHeight="1" x14ac:dyDescent="0.3">
      <c r="B14" s="107"/>
      <c r="C14" s="109"/>
      <c r="D14" s="109"/>
      <c r="E14" s="98"/>
      <c r="F14" s="98"/>
      <c r="G14" s="101"/>
      <c r="H14" s="89"/>
      <c r="I14" s="92"/>
      <c r="J14" s="92"/>
      <c r="K14" s="92"/>
      <c r="L14" s="92"/>
      <c r="M14" s="95" t="s">
        <v>11</v>
      </c>
      <c r="N14" s="95"/>
      <c r="O14" s="95" t="s">
        <v>8</v>
      </c>
      <c r="P14" s="95" t="s">
        <v>9</v>
      </c>
      <c r="Q14" s="95" t="s">
        <v>10</v>
      </c>
      <c r="R14" s="116"/>
      <c r="S14" s="91" t="s">
        <v>71</v>
      </c>
      <c r="T14" s="92" t="s">
        <v>72</v>
      </c>
      <c r="U14" s="95"/>
      <c r="V14" s="95"/>
      <c r="W14" s="95"/>
      <c r="X14" s="95" t="s">
        <v>14</v>
      </c>
      <c r="Y14" s="95"/>
      <c r="Z14" s="95"/>
      <c r="AA14" s="95" t="s">
        <v>15</v>
      </c>
      <c r="AB14" s="95"/>
      <c r="AC14" s="95"/>
      <c r="AD14" s="13" t="s">
        <v>16</v>
      </c>
      <c r="AE14" s="14" t="s">
        <v>13</v>
      </c>
    </row>
    <row r="15" spans="2:41" ht="22.5" customHeight="1" thickBot="1" x14ac:dyDescent="0.35">
      <c r="B15" s="107"/>
      <c r="C15" s="110"/>
      <c r="D15" s="110"/>
      <c r="E15" s="99"/>
      <c r="F15" s="99"/>
      <c r="G15" s="102"/>
      <c r="H15" s="90"/>
      <c r="I15" s="94"/>
      <c r="J15" s="92"/>
      <c r="K15" s="92"/>
      <c r="L15" s="92"/>
      <c r="M15" s="15" t="s">
        <v>16</v>
      </c>
      <c r="N15" s="15" t="s">
        <v>13</v>
      </c>
      <c r="O15" s="91"/>
      <c r="P15" s="91"/>
      <c r="Q15" s="91"/>
      <c r="R15" s="116"/>
      <c r="S15" s="92"/>
      <c r="T15" s="92"/>
      <c r="U15" s="7" t="s">
        <v>18</v>
      </c>
      <c r="V15" s="91"/>
      <c r="W15" s="91"/>
      <c r="X15" s="15" t="s">
        <v>19</v>
      </c>
      <c r="Y15" s="15" t="s">
        <v>20</v>
      </c>
      <c r="Z15" s="15" t="s">
        <v>21</v>
      </c>
      <c r="AA15" s="15" t="s">
        <v>19</v>
      </c>
      <c r="AB15" s="15" t="s">
        <v>20</v>
      </c>
      <c r="AC15" s="15" t="s">
        <v>21</v>
      </c>
      <c r="AD15" s="15" t="s">
        <v>22</v>
      </c>
      <c r="AE15" s="8" t="s">
        <v>22</v>
      </c>
      <c r="AG15" s="13" t="s">
        <v>92</v>
      </c>
      <c r="AH15" s="13" t="s">
        <v>93</v>
      </c>
      <c r="AI15" s="13" t="s">
        <v>10</v>
      </c>
      <c r="AJ15" s="13" t="s">
        <v>91</v>
      </c>
      <c r="AK15" s="13" t="s">
        <v>94</v>
      </c>
      <c r="AL15" s="13" t="s">
        <v>95</v>
      </c>
      <c r="AM15" s="13" t="s">
        <v>88</v>
      </c>
      <c r="AN15" s="13" t="s">
        <v>89</v>
      </c>
      <c r="AO15" s="13" t="s">
        <v>79</v>
      </c>
    </row>
    <row r="16" spans="2:41" ht="22.5" hidden="1" customHeight="1" thickBot="1" x14ac:dyDescent="0.35">
      <c r="B16" s="47"/>
      <c r="C16" s="44"/>
      <c r="D16" s="44"/>
      <c r="E16" s="44"/>
      <c r="F16" s="44"/>
      <c r="G16" s="45"/>
      <c r="H16" s="78" t="s">
        <v>24</v>
      </c>
      <c r="I16" s="46" t="s">
        <v>79</v>
      </c>
      <c r="J16" s="43"/>
      <c r="K16" s="43"/>
      <c r="L16" s="43"/>
      <c r="M16" s="43"/>
      <c r="N16" s="43"/>
      <c r="O16" s="43"/>
      <c r="P16" s="43"/>
      <c r="Q16" s="43"/>
      <c r="R16" s="42"/>
      <c r="S16" s="43"/>
      <c r="T16" s="43"/>
      <c r="U16" s="79"/>
      <c r="V16" s="43"/>
      <c r="W16" s="43"/>
      <c r="X16" s="43"/>
      <c r="Y16" s="43"/>
      <c r="Z16" s="43"/>
      <c r="AA16" s="43"/>
      <c r="AB16" s="43"/>
      <c r="AC16" s="43"/>
      <c r="AD16" s="43"/>
      <c r="AE16" s="80"/>
      <c r="AG16" s="13"/>
      <c r="AH16" s="13"/>
      <c r="AI16" s="13"/>
      <c r="AJ16" s="13"/>
      <c r="AK16" s="13"/>
      <c r="AL16" s="13"/>
      <c r="AM16" s="13"/>
      <c r="AN16" s="13"/>
      <c r="AO16" s="13"/>
    </row>
    <row r="17" spans="2:41" x14ac:dyDescent="0.3">
      <c r="B17" s="70"/>
      <c r="C17" s="24"/>
      <c r="D17" s="25"/>
      <c r="E17" s="24"/>
      <c r="F17" s="24"/>
      <c r="G17" s="81"/>
      <c r="H17" s="73" t="str">
        <f t="shared" ref="H17:H164" si="0">AN17</f>
        <v/>
      </c>
      <c r="I17" s="9" t="str">
        <f>AO17</f>
        <v/>
      </c>
      <c r="J17" s="40" t="str">
        <f>IF($H17="","",VLOOKUP($H17,Data!$C$6:$Y$29,2,FALSE))</f>
        <v/>
      </c>
      <c r="K17" s="9" t="str">
        <f>IF($H17="","",VLOOKUP($H17,Data!$C$6:$Y$29,3,FALSE))</f>
        <v/>
      </c>
      <c r="L17" s="9" t="str">
        <f>IF($H17="","",VLOOKUP($H17,Data!$C$6:$Y$29,4,FALSE))</f>
        <v/>
      </c>
      <c r="M17" s="9" t="str">
        <f>IF($H17="","",VLOOKUP($H17,Data!$C$6:$Y$29,5,FALSE))</f>
        <v/>
      </c>
      <c r="N17" s="9" t="str">
        <f>IF($H17="","",VLOOKUP($H17,Data!$C$6:$Y$29,6,FALSE))</f>
        <v/>
      </c>
      <c r="O17" s="9" t="str">
        <f>IF($H17="","",VLOOKUP($H17,Data!$C$6:$Y$29,7,FALSE))</f>
        <v/>
      </c>
      <c r="P17" s="9" t="str">
        <f>IF($H17="","",VLOOKUP($H17,Data!$C$6:$Y$29,8,FALSE))</f>
        <v/>
      </c>
      <c r="Q17" s="9" t="str">
        <f>IF($H17="","",VLOOKUP($H17,Data!$C$6:$Y$29,9,FALSE))</f>
        <v/>
      </c>
      <c r="R17" s="9" t="str">
        <f>IF($H17="","",VLOOKUP($H17,Data!$C$6:$Y$29,10,FALSE))</f>
        <v/>
      </c>
      <c r="S17" s="9" t="str">
        <f>IF($H17="","",VLOOKUP($H17,Data!$C$6:$Y$29,11,FALSE))</f>
        <v/>
      </c>
      <c r="T17" s="9" t="str">
        <f>IF($H17="","",VLOOKUP($H17,Data!$C$6:$Y$29,12,FALSE))</f>
        <v/>
      </c>
      <c r="U17" s="9" t="str">
        <f>IF($H17="","",VLOOKUP($H17,Data!$C$6:$Y$29,13,FALSE))</f>
        <v/>
      </c>
      <c r="V17" s="9" t="str">
        <f>IF($H17="","",VLOOKUP($H17,Data!$C$6:$Y$29,14,FALSE))</f>
        <v/>
      </c>
      <c r="W17" s="9" t="str">
        <f>IF($H17="","",VLOOKUP($H17,Data!$C$6:$Y$29,15,FALSE))</f>
        <v/>
      </c>
      <c r="X17" s="9" t="str">
        <f>IF($H17="","",VLOOKUP($H17,Data!$C$6:$Y$29,16,FALSE))</f>
        <v/>
      </c>
      <c r="Y17" s="9" t="str">
        <f>IF($H17="","",VLOOKUP($H17,Data!$C$6:$Y$29,17,FALSE))</f>
        <v/>
      </c>
      <c r="Z17" s="9" t="str">
        <f>IF($H17="","",VLOOKUP($H17,Data!$C$6:$Y$29,18,FALSE))</f>
        <v/>
      </c>
      <c r="AA17" s="9" t="str">
        <f>IF($H17="","",VLOOKUP($H17,Data!$C$6:$Y$29,19,FALSE))</f>
        <v/>
      </c>
      <c r="AB17" s="9" t="str">
        <f>IF($H17="","",VLOOKUP($H17,Data!$C$6:$Y$29,20,FALSE))</f>
        <v/>
      </c>
      <c r="AC17" s="9" t="str">
        <f>IF($H17="","",VLOOKUP($H17,Data!$C$6:$Y$29,21,FALSE))</f>
        <v/>
      </c>
      <c r="AD17" s="9" t="str">
        <f>IF($H17="","",VLOOKUP($H17,Data!$C$6:$Y$29,22,FALSE))</f>
        <v/>
      </c>
      <c r="AE17" s="10" t="str">
        <f>IF($H17="","",VLOOKUP($H17,Data!$C$6:$Y$29,23,FALSE))</f>
        <v/>
      </c>
      <c r="AG17" s="76" t="str">
        <f>IF($E17="","",IF($C17="DUCTED",VLOOKUP($E17,'DX-Data'!$D$5:$J$11,7,TRUE),IF($C17="DECORATIVE",VLOOKUP($E17,'DX-Data'!$D$19:$J$23,7,TRUE),IF($C17="PACKAGED",VLOOKUP($E17,'DX-Data'!$D$24:$J$30,7,TRUE),IF($C17="DUCTED-INV",VLOOKUP($E17,'DX-Data'!$D$12:$J$18,7,TRUE),"CHOOSE AC TYPE")))))</f>
        <v/>
      </c>
      <c r="AH17" s="76" t="str">
        <f>IF($F$9=TRUE,IF($C17="DUCTED",VLOOKUP($F17,'DX-Data'!$F$5:$J$11,5,TRUE),IF($C17="DECORATIVE",VLOOKUP($F17,'DX-Data'!$F$19:$J$23,5,TRUE),IF($C17="PACKAGED",VLOOKUP($F17,'DX-Data'!$F$24:$J$30,5,TRUE),IF($C17="DUCTED-INV",VLOOKUP($F17,'DX-Data'!$F$12:$J$18,5,TRUE),"CHOOSE AC TYPE")))),"NO SELECTION")</f>
        <v>CHOOSE AC TYPE</v>
      </c>
      <c r="AI17" s="76" t="str">
        <f>IF($G$9=TRUE,IF($C17="DUCTED",VLOOKUP($G17,'DX-Data'!$H$5:$J$11,3,TRUE),IF($C17="DECORATIVE",VLOOKUP($G17,'DX-Data'!$H$19:$J$23,3,TRUE),IF($C17="PACKAGED",VLOOKUP($G17,'DX-Data'!$H$24:$J$30,3,TRUE),IF($C17="DUCTED-INV",VLOOKUP($G17,'DX-Data'!$H$12:$J$18,3,TRUE),"CHOOSE AC TYPE")))),"NO SELECTION")</f>
        <v>NO SELECTION</v>
      </c>
      <c r="AJ17" s="77" t="str">
        <f>IF($E17="","",IF($C17="DUCTED",VLOOKUP($E17,'DX-Data'!$D$5:$J$11,6,TRUE),IF($C17="DECORATIVE",VLOOKUP($E17,'DX-Data'!$D$19:$J$23,6,TRUE),IF($C17="PACKAGED",VLOOKUP($E17,'DX-Data'!$D$24:$J$30,6,TRUE),IF($C17="DUCTED-INV",VLOOKUP($E17,'DX-Data'!$D$12:$J$18,6,TRUE),0)))))</f>
        <v/>
      </c>
      <c r="AK17" s="77" t="str">
        <f>IF($F$9=TRUE,IF($C17="DUCTED",VLOOKUP($F17,'DX-Data'!$F$5:$J$11,4,TRUE),IF($C17="DECORATIVE",VLOOKUP($F17,'DX-Data'!$F$19:$J$23,4,TRUE),IF($C17="PACKAGED",VLOOKUP($F17,'DX-Data'!$F$24:$J$30,4,TRUE),IF($C17="DUCTED-INV",VLOOKUP($F17,'DX-Data'!$F$12:$J$18,4,TRUE),"CHOOSE AC TYPE")))),0)</f>
        <v>CHOOSE AC TYPE</v>
      </c>
      <c r="AL17" s="77">
        <f>IF($G$9=TRUE,IF($C17="DUCTED",VLOOKUP($G17,'DX-Data'!$H$5:$J$11,2,TRUE),IF($C17="DECORATIVE",VLOOKUP($G17,'DX-Data'!$H$19:$J$23,2,TRUE),IF($C17="PACKAGED",VLOOKUP($G17,'DX-Data'!$H$24:$J$30,2,TRUE),IF($C17="DUCTED-INV",VLOOKUP($G17,'DX-Data'!$H$12:$J$18,2,TRUE),"CHOOSE AC TYPE")))),0)</f>
        <v>0</v>
      </c>
      <c r="AM17" s="77">
        <f>MAX(AJ17:AL17)</f>
        <v>0</v>
      </c>
      <c r="AN17" s="76" t="str">
        <f>IF(E17="","",VLOOKUP($AM17,'DX-Data'!$I$5:$J$31,2,FALSE))</f>
        <v/>
      </c>
      <c r="AO17" s="77" t="str">
        <f t="shared" ref="AO17" si="1">IF(OR(AN17="",AN17=0),"",1)</f>
        <v/>
      </c>
    </row>
    <row r="18" spans="2:41" x14ac:dyDescent="0.3">
      <c r="B18" s="71" t="s">
        <v>102</v>
      </c>
      <c r="C18" s="26" t="s">
        <v>38</v>
      </c>
      <c r="D18" s="27" t="s">
        <v>183</v>
      </c>
      <c r="E18" s="26">
        <v>2.2000000000000002</v>
      </c>
      <c r="F18" s="26">
        <v>1.9</v>
      </c>
      <c r="G18" s="82">
        <v>154</v>
      </c>
      <c r="H18" s="74" t="str">
        <f t="shared" si="0"/>
        <v>FDMRN20AVKU - RR20AVKU</v>
      </c>
      <c r="I18" s="2">
        <f t="shared" ref="I18:I164" si="2">AO18</f>
        <v>1</v>
      </c>
      <c r="J18" s="21">
        <f>IF($H18="","",VLOOKUP($H18,Data!$C$6:$Y$29,2,FALSE))</f>
        <v>1.5</v>
      </c>
      <c r="K18" s="2" t="str">
        <f>IF($H18="","",VLOOKUP($H18,Data!$C$6:$Y$29,3,FALSE))</f>
        <v>Non-Inverter</v>
      </c>
      <c r="L18" s="2" t="str">
        <f>IF($H18="","",VLOOKUP($H18,Data!$C$6:$Y$29,4,FALSE))</f>
        <v>R-410A</v>
      </c>
      <c r="M18" s="2" t="str">
        <f>IF($H18="","",VLOOKUP($H18,Data!$C$6:$Y$29,5,FALSE))</f>
        <v>24/16</v>
      </c>
      <c r="N18" s="2">
        <f>IF($H18="","",VLOOKUP($H18,Data!$C$6:$Y$29,6,FALSE))</f>
        <v>46</v>
      </c>
      <c r="O18" s="2">
        <f>IF($H18="","",VLOOKUP($H18,Data!$C$6:$Y$29,7,FALSE))</f>
        <v>4.24</v>
      </c>
      <c r="P18" s="2">
        <f>IF($H18="","",VLOOKUP($H18,Data!$C$6:$Y$29,8,FALSE))</f>
        <v>4.1100000000000003</v>
      </c>
      <c r="Q18" s="2">
        <f>IF($H18="","",VLOOKUP($H18,Data!$C$6:$Y$29,9,FALSE))</f>
        <v>255</v>
      </c>
      <c r="R18" s="2" t="str">
        <f>IF($H18="","",VLOOKUP($H18,Data!$C$6:$Y$29,10,FALSE))</f>
        <v>MEDIUM</v>
      </c>
      <c r="S18" s="2">
        <f>IF($H18="","",VLOOKUP($H18,Data!$C$6:$Y$29,11,FALSE))</f>
        <v>1.77</v>
      </c>
      <c r="T18" s="2">
        <f>IF($H18="","",VLOOKUP($H18,Data!$C$6:$Y$29,12,FALSE))</f>
        <v>1.8</v>
      </c>
      <c r="U18" s="2">
        <f>IF($H18="","",VLOOKUP($H18,Data!$C$6:$Y$29,13,FALSE))</f>
        <v>3.49</v>
      </c>
      <c r="V18" s="2">
        <f>IF($H18="","",VLOOKUP($H18,Data!$C$6:$Y$29,14,FALSE))</f>
        <v>40</v>
      </c>
      <c r="W18" s="2" t="str">
        <f>IF($H18="","",VLOOKUP($H18,Data!$C$6:$Y$29,15,FALSE))</f>
        <v>220-240/1/50</v>
      </c>
      <c r="X18" s="2">
        <f>IF($H18="","",VLOOKUP($H18,Data!$C$6:$Y$29,16,FALSE))</f>
        <v>261</v>
      </c>
      <c r="Y18" s="2">
        <f>IF($H18="","",VLOOKUP($H18,Data!$C$6:$Y$29,17,FALSE))</f>
        <v>1200</v>
      </c>
      <c r="Z18" s="2">
        <f>IF($H18="","",VLOOKUP($H18,Data!$C$6:$Y$29,18,FALSE))</f>
        <v>448</v>
      </c>
      <c r="AA18" s="2">
        <f>IF($H18="","",VLOOKUP($H18,Data!$C$6:$Y$29,19,FALSE))</f>
        <v>753</v>
      </c>
      <c r="AB18" s="2">
        <f>IF($H18="","",VLOOKUP($H18,Data!$C$6:$Y$29,20,FALSE))</f>
        <v>855</v>
      </c>
      <c r="AC18" s="2">
        <f>IF($H18="","",VLOOKUP($H18,Data!$C$6:$Y$29,21,FALSE))</f>
        <v>328</v>
      </c>
      <c r="AD18" s="2">
        <f>IF($H18="","",VLOOKUP($H18,Data!$C$6:$Y$29,22,FALSE))</f>
        <v>26</v>
      </c>
      <c r="AE18" s="3">
        <f>IF($H18="","",VLOOKUP($H18,Data!$C$6:$Y$29,23,FALSE))</f>
        <v>47</v>
      </c>
      <c r="AG18" s="76" t="str">
        <f>IF($E18="","",IF($C18="DUCTED",VLOOKUP($E18,'DX-Data'!$D$5:$J$11,7,TRUE),IF($C18="DECORATIVE",VLOOKUP($E18,'DX-Data'!$D$19:$J$23,7,TRUE),IF($C18="PACKAGED",VLOOKUP($E18,'DX-Data'!$D$24:$J$30,7,TRUE),IF($C18="DUCTED-INV",VLOOKUP($E18,'DX-Data'!$D$12:$J$18,7,TRUE),"CHOOSE AC TYPE")))))</f>
        <v>FDMRN20AVKU - RR20AVKU</v>
      </c>
      <c r="AH18" s="76" t="str">
        <f>IF($F$9=TRUE,IF($C18="DUCTED",VLOOKUP($F18,'DX-Data'!$F$5:$J$11,5,TRUE),IF($C18="DECORATIVE",VLOOKUP($F18,'DX-Data'!$F$19:$J$23,5,TRUE),IF($C18="PACKAGED",VLOOKUP($F18,'DX-Data'!$F$24:$J$30,5,TRUE),IF($C18="DUCTED-INV",VLOOKUP($F18,'DX-Data'!$F$12:$J$18,5,TRUE),"CHOOSE AC TYPE")))),"NO SELECTION")</f>
        <v>FDMRN20AVKU - RR20AVKU</v>
      </c>
      <c r="AI18" s="76" t="str">
        <f>IF($G$9=TRUE,IF($C18="DUCTED",VLOOKUP($G18,'DX-Data'!$H$5:$J$11,3,TRUE),IF($C18="DECORATIVE",VLOOKUP($G18,'DX-Data'!$H$19:$J$23,3,TRUE),IF($C18="PACKAGED",VLOOKUP($G18,'DX-Data'!$H$24:$J$30,3,TRUE),IF($C18="DUCTED-INV",VLOOKUP($G18,'DX-Data'!$H$12:$J$18,3,TRUE),"CHOOSE AC TYPE")))),"NO SELECTION")</f>
        <v>NO SELECTION</v>
      </c>
      <c r="AJ18" s="77">
        <f>IF($E18="","",IF($C18="DUCTED",VLOOKUP($E18,'DX-Data'!$D$5:$J$11,6,TRUE),IF($C18="DECORATIVE",VLOOKUP($E18,'DX-Data'!$D$19:$J$23,6,TRUE),IF($C18="PACKAGED",VLOOKUP($E18,'DX-Data'!$D$24:$J$30,6,TRUE),IF($C18="DUCTED-INV",VLOOKUP($E18,'DX-Data'!$D$12:$J$18,6,TRUE),0)))))</f>
        <v>1</v>
      </c>
      <c r="AK18" s="77">
        <f>IF($F$9=TRUE,IF($C18="DUCTED",VLOOKUP($F18,'DX-Data'!$F$5:$J$11,4,TRUE),IF($C18="DECORATIVE",VLOOKUP($F18,'DX-Data'!$F$19:$J$23,4,TRUE),IF($C18="PACKAGED",VLOOKUP($F18,'DX-Data'!$F$24:$J$30,4,TRUE),IF($C18="DUCTED-INV",VLOOKUP($F18,'DX-Data'!$F$12:$J$18,4,TRUE),"CHOOSE AC TYPE")))),0)</f>
        <v>1</v>
      </c>
      <c r="AL18" s="77">
        <f>IF($G$9=TRUE,IF($C18="DUCTED",VLOOKUP($G18,'DX-Data'!$H$5:$J$11,2,TRUE),IF($C18="DECORATIVE",VLOOKUP($G18,'DX-Data'!$H$19:$J$23,2,TRUE),IF($C18="PACKAGED",VLOOKUP($G18,'DX-Data'!$H$24:$J$30,2,TRUE),IF($C18="DUCTED-INV",VLOOKUP($G18,'DX-Data'!$H$12:$J$18,2,TRUE),"CHOOSE AC TYPE")))),0)</f>
        <v>0</v>
      </c>
      <c r="AM18" s="77">
        <f t="shared" ref="AM18:AM164" si="3">MAX(AJ18:AL18)</f>
        <v>1</v>
      </c>
      <c r="AN18" s="76" t="str">
        <f>IF(E18="","",VLOOKUP($AM18,'DX-Data'!$I$5:$J$31,2,FALSE))</f>
        <v>FDMRN20AVKU - RR20AVKU</v>
      </c>
      <c r="AO18" s="77">
        <f t="shared" ref="AO18:AO164" si="4">IF(OR(AN18="",AN18=0),"",1)</f>
        <v>1</v>
      </c>
    </row>
    <row r="19" spans="2:41" x14ac:dyDescent="0.3">
      <c r="B19" s="84"/>
      <c r="C19" s="26"/>
      <c r="D19" s="27"/>
      <c r="E19" s="26"/>
      <c r="F19" s="26"/>
      <c r="G19" s="82"/>
      <c r="H19" s="74"/>
      <c r="I19" s="2"/>
      <c r="J19" s="2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  <c r="AG19" s="76"/>
      <c r="AH19" s="76"/>
      <c r="AI19" s="76"/>
      <c r="AJ19" s="77"/>
      <c r="AK19" s="77"/>
      <c r="AL19" s="77"/>
      <c r="AM19" s="77"/>
      <c r="AN19" s="76"/>
      <c r="AO19" s="77"/>
    </row>
    <row r="20" spans="2:41" x14ac:dyDescent="0.3">
      <c r="B20" s="71" t="s">
        <v>103</v>
      </c>
      <c r="C20" s="26" t="s">
        <v>38</v>
      </c>
      <c r="D20" s="27" t="s">
        <v>184</v>
      </c>
      <c r="E20" s="26">
        <v>12.3</v>
      </c>
      <c r="F20" s="26">
        <v>9.9</v>
      </c>
      <c r="G20" s="82">
        <v>856</v>
      </c>
      <c r="H20" s="74" t="s">
        <v>50</v>
      </c>
      <c r="I20" s="2">
        <v>2</v>
      </c>
      <c r="J20" s="21">
        <f>IF($H20="","",VLOOKUP($H20,Data!$C$6:$Y$29,2,FALSE))</f>
        <v>2.5</v>
      </c>
      <c r="K20" s="2" t="str">
        <f>IF($H20="","",VLOOKUP($H20,Data!$C$6:$Y$29,3,FALSE))</f>
        <v>Non-Inverter</v>
      </c>
      <c r="L20" s="2" t="str">
        <f>IF($H20="","",VLOOKUP($H20,Data!$C$6:$Y$29,4,FALSE))</f>
        <v>R-410A</v>
      </c>
      <c r="M20" s="2" t="str">
        <f>IF($H20="","",VLOOKUP($H20,Data!$C$6:$Y$29,5,FALSE))</f>
        <v>24/16</v>
      </c>
      <c r="N20" s="2">
        <f>IF($H20="","",VLOOKUP($H20,Data!$C$6:$Y$29,6,FALSE))</f>
        <v>46</v>
      </c>
      <c r="O20" s="2">
        <f>IF($H20="","",VLOOKUP($H20,Data!$C$6:$Y$29,7,FALSE))</f>
        <v>6.93</v>
      </c>
      <c r="P20" s="2">
        <f>IF($H20="","",VLOOKUP($H20,Data!$C$6:$Y$29,8,FALSE))</f>
        <v>6.3</v>
      </c>
      <c r="Q20" s="2">
        <f>IF($H20="","",VLOOKUP($H20,Data!$C$6:$Y$29,9,FALSE))</f>
        <v>374</v>
      </c>
      <c r="R20" s="2" t="str">
        <f>IF($H20="","",VLOOKUP($H20,Data!$C$6:$Y$29,10,FALSE))</f>
        <v>MEDIUM</v>
      </c>
      <c r="S20" s="2">
        <f>IF($H20="","",VLOOKUP($H20,Data!$C$6:$Y$29,11,FALSE))</f>
        <v>2.87</v>
      </c>
      <c r="T20" s="2">
        <f>IF($H20="","",VLOOKUP($H20,Data!$C$6:$Y$29,12,FALSE))</f>
        <v>3.05</v>
      </c>
      <c r="U20" s="2">
        <f>IF($H20="","",VLOOKUP($H20,Data!$C$6:$Y$29,13,FALSE))</f>
        <v>3.49</v>
      </c>
      <c r="V20" s="2">
        <f>IF($H20="","",VLOOKUP($H20,Data!$C$6:$Y$29,14,FALSE))</f>
        <v>40</v>
      </c>
      <c r="W20" s="2" t="str">
        <f>IF($H20="","",VLOOKUP($H20,Data!$C$6:$Y$29,15,FALSE))</f>
        <v>220-240/1/50</v>
      </c>
      <c r="X20" s="2">
        <f>IF($H20="","",VLOOKUP($H20,Data!$C$6:$Y$29,16,FALSE))</f>
        <v>378</v>
      </c>
      <c r="Y20" s="2">
        <f>IF($H20="","",VLOOKUP($H20,Data!$C$6:$Y$29,17,FALSE))</f>
        <v>1115</v>
      </c>
      <c r="Z20" s="2">
        <f>IF($H20="","",VLOOKUP($H20,Data!$C$6:$Y$29,18,FALSE))</f>
        <v>541</v>
      </c>
      <c r="AA20" s="2">
        <f>IF($H20="","",VLOOKUP($H20,Data!$C$6:$Y$29,19,FALSE))</f>
        <v>852</v>
      </c>
      <c r="AB20" s="2">
        <f>IF($H20="","",VLOOKUP($H20,Data!$C$6:$Y$29,20,FALSE))</f>
        <v>1030</v>
      </c>
      <c r="AC20" s="2">
        <f>IF($H20="","",VLOOKUP($H20,Data!$C$6:$Y$29,21,FALSE))</f>
        <v>400</v>
      </c>
      <c r="AD20" s="2">
        <f>IF($H20="","",VLOOKUP($H20,Data!$C$6:$Y$29,22,FALSE))</f>
        <v>44</v>
      </c>
      <c r="AE20" s="3">
        <f>IF($H20="","",VLOOKUP($H20,Data!$C$6:$Y$29,23,FALSE))</f>
        <v>75</v>
      </c>
      <c r="AG20" s="76" t="str">
        <f>IF($E20="","",IF($C20="DUCTED",VLOOKUP($E20,'DX-Data'!$D$5:$J$11,7,TRUE),IF($C20="DECORATIVE",VLOOKUP($E20,'DX-Data'!$D$19:$J$23,7,TRUE),IF($C20="PACKAGED",VLOOKUP($E20,'DX-Data'!$D$24:$J$30,7,TRUE),IF($C20="DUCTED-INV",VLOOKUP($E20,'DX-Data'!$D$12:$J$18,7,TRUE),"CHOOSE AC TYPE")))))</f>
        <v>FDMRN60AVKU - RR60AYKU</v>
      </c>
      <c r="AH20" s="76" t="str">
        <f>IF($F$9=TRUE,IF($C20="DUCTED",VLOOKUP($F20,'DX-Data'!$F$5:$J$11,5,TRUE),IF($C20="DECORATIVE",VLOOKUP($F20,'DX-Data'!$F$19:$J$23,5,TRUE),IF($C20="PACKAGED",VLOOKUP($F20,'DX-Data'!$F$24:$J$30,5,TRUE),IF($C20="DUCTED-INV",VLOOKUP($F20,'DX-Data'!$F$12:$J$18,5,TRUE),"CHOOSE AC TYPE")))),"NO SELECTION")</f>
        <v>FDMRN50AVKU - RR50AYKU</v>
      </c>
      <c r="AI20" s="76" t="str">
        <f>IF($G$9=TRUE,IF($C20="DUCTED",VLOOKUP($G20,'DX-Data'!$H$5:$J$11,3,TRUE),IF($C20="DECORATIVE",VLOOKUP($G20,'DX-Data'!$H$19:$J$23,3,TRUE),IF($C20="PACKAGED",VLOOKUP($G20,'DX-Data'!$H$24:$J$30,3,TRUE),IF($C20="DUCTED-INV",VLOOKUP($G20,'DX-Data'!$H$12:$J$18,3,TRUE),"CHOOSE AC TYPE")))),"NO SELECTION")</f>
        <v>NO SELECTION</v>
      </c>
      <c r="AJ20" s="77">
        <f>IF($E20="","",IF($C20="DUCTED",VLOOKUP($E20,'DX-Data'!$D$5:$J$11,6,TRUE),IF($C20="DECORATIVE",VLOOKUP($E20,'DX-Data'!$D$19:$J$23,6,TRUE),IF($C20="PACKAGED",VLOOKUP($E20,'DX-Data'!$D$24:$J$30,6,TRUE),IF($C20="DUCTED-INV",VLOOKUP($E20,'DX-Data'!$D$12:$J$18,6,TRUE),0)))))</f>
        <v>6</v>
      </c>
      <c r="AK20" s="77">
        <f>IF($F$9=TRUE,IF($C20="DUCTED",VLOOKUP($F20,'DX-Data'!$F$5:$J$11,4,TRUE),IF($C20="DECORATIVE",VLOOKUP($F20,'DX-Data'!$F$19:$J$23,4,TRUE),IF($C20="PACKAGED",VLOOKUP($F20,'DX-Data'!$F$24:$J$30,4,TRUE),IF($C20="DUCTED-INV",VLOOKUP($F20,'DX-Data'!$F$12:$J$18,4,TRUE),"CHOOSE AC TYPE")))),0)</f>
        <v>5</v>
      </c>
      <c r="AL20" s="77">
        <f>IF($G$9=TRUE,IF($C20="DUCTED",VLOOKUP($G20,'DX-Data'!$H$5:$J$11,2,TRUE),IF($C20="DECORATIVE",VLOOKUP($G20,'DX-Data'!$H$19:$J$23,2,TRUE),IF($C20="PACKAGED",VLOOKUP($G20,'DX-Data'!$H$24:$J$30,2,TRUE),IF($C20="DUCTED-INV",VLOOKUP($G20,'DX-Data'!$H$12:$J$18,2,TRUE),"CHOOSE AC TYPE")))),0)</f>
        <v>0</v>
      </c>
      <c r="AM20" s="77">
        <f t="shared" ref="AM20:AM87" si="5">MAX(AJ20:AL20)</f>
        <v>6</v>
      </c>
      <c r="AN20" s="76" t="str">
        <f>IF(E20="","",VLOOKUP($AM20,'DX-Data'!$I$5:$J$31,2,FALSE))</f>
        <v>FDMRN60AVKU - RR60AYKU</v>
      </c>
      <c r="AO20" s="77">
        <f t="shared" ref="AO20:AO87" si="6">IF(OR(AN20="",AN20=0),"",1)</f>
        <v>1</v>
      </c>
    </row>
    <row r="21" spans="2:41" x14ac:dyDescent="0.3">
      <c r="B21" s="71" t="s">
        <v>104</v>
      </c>
      <c r="C21" s="26" t="s">
        <v>38</v>
      </c>
      <c r="D21" s="27" t="s">
        <v>185</v>
      </c>
      <c r="E21" s="26">
        <v>4.4000000000000004</v>
      </c>
      <c r="F21" s="26">
        <v>4</v>
      </c>
      <c r="G21" s="82">
        <v>354</v>
      </c>
      <c r="H21" s="74" t="str">
        <f t="shared" ref="H21:H86" si="7">AN21</f>
        <v>FDMRN25AVKU - RR25AVKU</v>
      </c>
      <c r="I21" s="2">
        <f t="shared" ref="I21:I65" si="8">AO21</f>
        <v>1</v>
      </c>
      <c r="J21" s="21">
        <f>IF($H21="","",VLOOKUP($H21,Data!$C$6:$Y$29,2,FALSE))</f>
        <v>2</v>
      </c>
      <c r="K21" s="2" t="str">
        <f>IF($H21="","",VLOOKUP($H21,Data!$C$6:$Y$29,3,FALSE))</f>
        <v>Non-Inverter</v>
      </c>
      <c r="L21" s="2" t="str">
        <f>IF($H21="","",VLOOKUP($H21,Data!$C$6:$Y$29,4,FALSE))</f>
        <v>R-410A</v>
      </c>
      <c r="M21" s="2" t="str">
        <f>IF($H21="","",VLOOKUP($H21,Data!$C$6:$Y$29,5,FALSE))</f>
        <v>24/16</v>
      </c>
      <c r="N21" s="2">
        <f>IF($H21="","",VLOOKUP($H21,Data!$C$6:$Y$29,6,FALSE))</f>
        <v>46</v>
      </c>
      <c r="O21" s="2">
        <f>IF($H21="","",VLOOKUP($H21,Data!$C$6:$Y$29,7,FALSE))</f>
        <v>5.48</v>
      </c>
      <c r="P21" s="2">
        <f>IF($H21="","",VLOOKUP($H21,Data!$C$6:$Y$29,8,FALSE))</f>
        <v>5.05</v>
      </c>
      <c r="Q21" s="2">
        <f>IF($H21="","",VLOOKUP($H21,Data!$C$6:$Y$29,9,FALSE))</f>
        <v>303</v>
      </c>
      <c r="R21" s="2" t="str">
        <f>IF($H21="","",VLOOKUP($H21,Data!$C$6:$Y$29,10,FALSE))</f>
        <v>MEDIUM</v>
      </c>
      <c r="S21" s="2">
        <f>IF($H21="","",VLOOKUP($H21,Data!$C$6:$Y$29,11,FALSE))</f>
        <v>2.29</v>
      </c>
      <c r="T21" s="2">
        <f>IF($H21="","",VLOOKUP($H21,Data!$C$6:$Y$29,12,FALSE))</f>
        <v>2.35</v>
      </c>
      <c r="U21" s="2">
        <f>IF($H21="","",VLOOKUP($H21,Data!$C$6:$Y$29,13,FALSE))</f>
        <v>3.44</v>
      </c>
      <c r="V21" s="2">
        <f>IF($H21="","",VLOOKUP($H21,Data!$C$6:$Y$29,14,FALSE))</f>
        <v>40</v>
      </c>
      <c r="W21" s="2" t="str">
        <f>IF($H21="","",VLOOKUP($H21,Data!$C$6:$Y$29,15,FALSE))</f>
        <v>220-240/1/50</v>
      </c>
      <c r="X21" s="2">
        <f>IF($H21="","",VLOOKUP($H21,Data!$C$6:$Y$29,16,FALSE))</f>
        <v>378</v>
      </c>
      <c r="Y21" s="2">
        <f>IF($H21="","",VLOOKUP($H21,Data!$C$6:$Y$29,17,FALSE))</f>
        <v>1115</v>
      </c>
      <c r="Z21" s="2">
        <f>IF($H21="","",VLOOKUP($H21,Data!$C$6:$Y$29,18,FALSE))</f>
        <v>541</v>
      </c>
      <c r="AA21" s="2">
        <f>IF($H21="","",VLOOKUP($H21,Data!$C$6:$Y$29,19,FALSE))</f>
        <v>753</v>
      </c>
      <c r="AB21" s="2">
        <f>IF($H21="","",VLOOKUP($H21,Data!$C$6:$Y$29,20,FALSE))</f>
        <v>855</v>
      </c>
      <c r="AC21" s="2">
        <f>IF($H21="","",VLOOKUP($H21,Data!$C$6:$Y$29,21,FALSE))</f>
        <v>328</v>
      </c>
      <c r="AD21" s="2">
        <f>IF($H21="","",VLOOKUP($H21,Data!$C$6:$Y$29,22,FALSE))</f>
        <v>44</v>
      </c>
      <c r="AE21" s="3">
        <f>IF($H21="","",VLOOKUP($H21,Data!$C$6:$Y$29,23,FALSE))</f>
        <v>51</v>
      </c>
      <c r="AG21" s="76" t="str">
        <f>IF($E21="","",IF($C21="DUCTED",VLOOKUP($E21,'DX-Data'!$D$5:$J$11,7,TRUE),IF($C21="DECORATIVE",VLOOKUP($E21,'DX-Data'!$D$19:$J$23,7,TRUE),IF($C21="PACKAGED",VLOOKUP($E21,'DX-Data'!$D$24:$J$30,7,TRUE),IF($C21="DUCTED-INV",VLOOKUP($E21,'DX-Data'!$D$12:$J$18,7,TRUE),"CHOOSE AC TYPE")))))</f>
        <v>FDMRN25AVKU - RR25AVKU</v>
      </c>
      <c r="AH21" s="76" t="str">
        <f>IF($F$9=TRUE,IF($C21="DUCTED",VLOOKUP($F21,'DX-Data'!$F$5:$J$11,5,TRUE),IF($C21="DECORATIVE",VLOOKUP($F21,'DX-Data'!$F$19:$J$23,5,TRUE),IF($C21="PACKAGED",VLOOKUP($F21,'DX-Data'!$F$24:$J$30,5,TRUE),IF($C21="DUCTED-INV",VLOOKUP($F21,'DX-Data'!$F$12:$J$18,5,TRUE),"CHOOSE AC TYPE")))),"NO SELECTION")</f>
        <v>FDMRN20AVKU - RR20AVKU</v>
      </c>
      <c r="AI21" s="76" t="str">
        <f>IF($G$9=TRUE,IF($C21="DUCTED",VLOOKUP($G21,'DX-Data'!$H$5:$J$11,3,TRUE),IF($C21="DECORATIVE",VLOOKUP($G21,'DX-Data'!$H$19:$J$23,3,TRUE),IF($C21="PACKAGED",VLOOKUP($G21,'DX-Data'!$H$24:$J$30,3,TRUE),IF($C21="DUCTED-INV",VLOOKUP($G21,'DX-Data'!$H$12:$J$18,3,TRUE),"CHOOSE AC TYPE")))),"NO SELECTION")</f>
        <v>NO SELECTION</v>
      </c>
      <c r="AJ21" s="77">
        <f>IF($E21="","",IF($C21="DUCTED",VLOOKUP($E21,'DX-Data'!$D$5:$J$11,6,TRUE),IF($C21="DECORATIVE",VLOOKUP($E21,'DX-Data'!$D$19:$J$23,6,TRUE),IF($C21="PACKAGED",VLOOKUP($E21,'DX-Data'!$D$24:$J$30,6,TRUE),IF($C21="DUCTED-INV",VLOOKUP($E21,'DX-Data'!$D$12:$J$18,6,TRUE),0)))))</f>
        <v>2</v>
      </c>
      <c r="AK21" s="77">
        <f>IF($F$9=TRUE,IF($C21="DUCTED",VLOOKUP($F21,'DX-Data'!$F$5:$J$11,4,TRUE),IF($C21="DECORATIVE",VLOOKUP($F21,'DX-Data'!$F$19:$J$23,4,TRUE),IF($C21="PACKAGED",VLOOKUP($F21,'DX-Data'!$F$24:$J$30,4,TRUE),IF($C21="DUCTED-INV",VLOOKUP($F21,'DX-Data'!$F$12:$J$18,4,TRUE),"CHOOSE AC TYPE")))),0)</f>
        <v>1</v>
      </c>
      <c r="AL21" s="77">
        <f>IF($G$9=TRUE,IF($C21="DUCTED",VLOOKUP($G21,'DX-Data'!$H$5:$J$11,2,TRUE),IF($C21="DECORATIVE",VLOOKUP($G21,'DX-Data'!$H$19:$J$23,2,TRUE),IF($C21="PACKAGED",VLOOKUP($G21,'DX-Data'!$H$24:$J$30,2,TRUE),IF($C21="DUCTED-INV",VLOOKUP($G21,'DX-Data'!$H$12:$J$18,2,TRUE),"CHOOSE AC TYPE")))),0)</f>
        <v>0</v>
      </c>
      <c r="AM21" s="77">
        <f t="shared" si="5"/>
        <v>2</v>
      </c>
      <c r="AN21" s="76" t="str">
        <f>IF(E21="","",VLOOKUP($AM21,'DX-Data'!$I$5:$J$31,2,FALSE))</f>
        <v>FDMRN25AVKU - RR25AVKU</v>
      </c>
      <c r="AO21" s="77">
        <f t="shared" si="6"/>
        <v>1</v>
      </c>
    </row>
    <row r="22" spans="2:41" x14ac:dyDescent="0.3">
      <c r="B22" s="71" t="s">
        <v>105</v>
      </c>
      <c r="C22" s="26" t="s">
        <v>38</v>
      </c>
      <c r="D22" s="27" t="s">
        <v>186</v>
      </c>
      <c r="E22" s="26">
        <v>1.4</v>
      </c>
      <c r="F22" s="26">
        <v>1.2</v>
      </c>
      <c r="G22" s="82">
        <v>108</v>
      </c>
      <c r="H22" s="74" t="str">
        <f t="shared" si="7"/>
        <v>FDMRN20AVKU - RR20AVKU</v>
      </c>
      <c r="I22" s="2">
        <f t="shared" si="8"/>
        <v>1</v>
      </c>
      <c r="J22" s="21">
        <f>IF($H22="","",VLOOKUP($H22,Data!$C$6:$Y$29,2,FALSE))</f>
        <v>1.5</v>
      </c>
      <c r="K22" s="2" t="str">
        <f>IF($H22="","",VLOOKUP($H22,Data!$C$6:$Y$29,3,FALSE))</f>
        <v>Non-Inverter</v>
      </c>
      <c r="L22" s="2" t="str">
        <f>IF($H22="","",VLOOKUP($H22,Data!$C$6:$Y$29,4,FALSE))</f>
        <v>R-410A</v>
      </c>
      <c r="M22" s="2" t="str">
        <f>IF($H22="","",VLOOKUP($H22,Data!$C$6:$Y$29,5,FALSE))</f>
        <v>24/16</v>
      </c>
      <c r="N22" s="2">
        <f>IF($H22="","",VLOOKUP($H22,Data!$C$6:$Y$29,6,FALSE))</f>
        <v>46</v>
      </c>
      <c r="O22" s="2">
        <f>IF($H22="","",VLOOKUP($H22,Data!$C$6:$Y$29,7,FALSE))</f>
        <v>4.24</v>
      </c>
      <c r="P22" s="2">
        <f>IF($H22="","",VLOOKUP($H22,Data!$C$6:$Y$29,8,FALSE))</f>
        <v>4.1100000000000003</v>
      </c>
      <c r="Q22" s="2">
        <f>IF($H22="","",VLOOKUP($H22,Data!$C$6:$Y$29,9,FALSE))</f>
        <v>255</v>
      </c>
      <c r="R22" s="2" t="str">
        <f>IF($H22="","",VLOOKUP($H22,Data!$C$6:$Y$29,10,FALSE))</f>
        <v>MEDIUM</v>
      </c>
      <c r="S22" s="2">
        <f>IF($H22="","",VLOOKUP($H22,Data!$C$6:$Y$29,11,FALSE))</f>
        <v>1.77</v>
      </c>
      <c r="T22" s="2">
        <f>IF($H22="","",VLOOKUP($H22,Data!$C$6:$Y$29,12,FALSE))</f>
        <v>1.8</v>
      </c>
      <c r="U22" s="2">
        <f>IF($H22="","",VLOOKUP($H22,Data!$C$6:$Y$29,13,FALSE))</f>
        <v>3.49</v>
      </c>
      <c r="V22" s="2">
        <f>IF($H22="","",VLOOKUP($H22,Data!$C$6:$Y$29,14,FALSE))</f>
        <v>40</v>
      </c>
      <c r="W22" s="2" t="str">
        <f>IF($H22="","",VLOOKUP($H22,Data!$C$6:$Y$29,15,FALSE))</f>
        <v>220-240/1/50</v>
      </c>
      <c r="X22" s="2">
        <f>IF($H22="","",VLOOKUP($H22,Data!$C$6:$Y$29,16,FALSE))</f>
        <v>261</v>
      </c>
      <c r="Y22" s="2">
        <f>IF($H22="","",VLOOKUP($H22,Data!$C$6:$Y$29,17,FALSE))</f>
        <v>1200</v>
      </c>
      <c r="Z22" s="2">
        <f>IF($H22="","",VLOOKUP($H22,Data!$C$6:$Y$29,18,FALSE))</f>
        <v>448</v>
      </c>
      <c r="AA22" s="2">
        <f>IF($H22="","",VLOOKUP($H22,Data!$C$6:$Y$29,19,FALSE))</f>
        <v>753</v>
      </c>
      <c r="AB22" s="2">
        <f>IF($H22="","",VLOOKUP($H22,Data!$C$6:$Y$29,20,FALSE))</f>
        <v>855</v>
      </c>
      <c r="AC22" s="2">
        <f>IF($H22="","",VLOOKUP($H22,Data!$C$6:$Y$29,21,FALSE))</f>
        <v>328</v>
      </c>
      <c r="AD22" s="2">
        <f>IF($H22="","",VLOOKUP($H22,Data!$C$6:$Y$29,22,FALSE))</f>
        <v>26</v>
      </c>
      <c r="AE22" s="3">
        <f>IF($H22="","",VLOOKUP($H22,Data!$C$6:$Y$29,23,FALSE))</f>
        <v>47</v>
      </c>
      <c r="AG22" s="76" t="str">
        <f>IF($E22="","",IF($C22="DUCTED",VLOOKUP($E22,'DX-Data'!$D$5:$J$11,7,TRUE),IF($C22="DECORATIVE",VLOOKUP($E22,'DX-Data'!$D$19:$J$23,7,TRUE),IF($C22="PACKAGED",VLOOKUP($E22,'DX-Data'!$D$24:$J$30,7,TRUE),IF($C22="DUCTED-INV",VLOOKUP($E22,'DX-Data'!$D$12:$J$18,7,TRUE),"CHOOSE AC TYPE")))))</f>
        <v>FDMRN20AVKU - RR20AVKU</v>
      </c>
      <c r="AH22" s="76" t="str">
        <f>IF($F$9=TRUE,IF($C22="DUCTED",VLOOKUP($F22,'DX-Data'!$F$5:$J$11,5,TRUE),IF($C22="DECORATIVE",VLOOKUP($F22,'DX-Data'!$F$19:$J$23,5,TRUE),IF($C22="PACKAGED",VLOOKUP($F22,'DX-Data'!$F$24:$J$30,5,TRUE),IF($C22="DUCTED-INV",VLOOKUP($F22,'DX-Data'!$F$12:$J$18,5,TRUE),"CHOOSE AC TYPE")))),"NO SELECTION")</f>
        <v>FDMRN20AVKU - RR20AVKU</v>
      </c>
      <c r="AI22" s="76" t="str">
        <f>IF($G$9=TRUE,IF($C22="DUCTED",VLOOKUP($G22,'DX-Data'!$H$5:$J$11,3,TRUE),IF($C22="DECORATIVE",VLOOKUP($G22,'DX-Data'!$H$19:$J$23,3,TRUE),IF($C22="PACKAGED",VLOOKUP($G22,'DX-Data'!$H$24:$J$30,3,TRUE),IF($C22="DUCTED-INV",VLOOKUP($G22,'DX-Data'!$H$12:$J$18,3,TRUE),"CHOOSE AC TYPE")))),"NO SELECTION")</f>
        <v>NO SELECTION</v>
      </c>
      <c r="AJ22" s="77">
        <f>IF($E22="","",IF($C22="DUCTED",VLOOKUP($E22,'DX-Data'!$D$5:$J$11,6,TRUE),IF($C22="DECORATIVE",VLOOKUP($E22,'DX-Data'!$D$19:$J$23,6,TRUE),IF($C22="PACKAGED",VLOOKUP($E22,'DX-Data'!$D$24:$J$30,6,TRUE),IF($C22="DUCTED-INV",VLOOKUP($E22,'DX-Data'!$D$12:$J$18,6,TRUE),0)))))</f>
        <v>1</v>
      </c>
      <c r="AK22" s="77">
        <f>IF($F$9=TRUE,IF($C22="DUCTED",VLOOKUP($F22,'DX-Data'!$F$5:$J$11,4,TRUE),IF($C22="DECORATIVE",VLOOKUP($F22,'DX-Data'!$F$19:$J$23,4,TRUE),IF($C22="PACKAGED",VLOOKUP($F22,'DX-Data'!$F$24:$J$30,4,TRUE),IF($C22="DUCTED-INV",VLOOKUP($F22,'DX-Data'!$F$12:$J$18,4,TRUE),"CHOOSE AC TYPE")))),0)</f>
        <v>1</v>
      </c>
      <c r="AL22" s="77">
        <f>IF($G$9=TRUE,IF($C22="DUCTED",VLOOKUP($G22,'DX-Data'!$H$5:$J$11,2,TRUE),IF($C22="DECORATIVE",VLOOKUP($G22,'DX-Data'!$H$19:$J$23,2,TRUE),IF($C22="PACKAGED",VLOOKUP($G22,'DX-Data'!$H$24:$J$30,2,TRUE),IF($C22="DUCTED-INV",VLOOKUP($G22,'DX-Data'!$H$12:$J$18,2,TRUE),"CHOOSE AC TYPE")))),0)</f>
        <v>0</v>
      </c>
      <c r="AM22" s="77">
        <f t="shared" si="5"/>
        <v>1</v>
      </c>
      <c r="AN22" s="76" t="str">
        <f>IF(E22="","",VLOOKUP($AM22,'DX-Data'!$I$5:$J$31,2,FALSE))</f>
        <v>FDMRN20AVKU - RR20AVKU</v>
      </c>
      <c r="AO22" s="77">
        <f t="shared" si="6"/>
        <v>1</v>
      </c>
    </row>
    <row r="23" spans="2:41" x14ac:dyDescent="0.3">
      <c r="B23" s="71" t="s">
        <v>106</v>
      </c>
      <c r="C23" s="26" t="s">
        <v>38</v>
      </c>
      <c r="D23" s="27" t="s">
        <v>187</v>
      </c>
      <c r="E23" s="26">
        <v>4</v>
      </c>
      <c r="F23" s="26">
        <v>3.7</v>
      </c>
      <c r="G23" s="82">
        <v>333</v>
      </c>
      <c r="H23" s="74" t="str">
        <f t="shared" si="7"/>
        <v>FDMRN20AVKU - RR20AVKU</v>
      </c>
      <c r="I23" s="2">
        <f t="shared" si="8"/>
        <v>1</v>
      </c>
      <c r="J23" s="21">
        <f>IF($H23="","",VLOOKUP($H23,Data!$C$6:$Y$29,2,FALSE))</f>
        <v>1.5</v>
      </c>
      <c r="K23" s="2" t="str">
        <f>IF($H23="","",VLOOKUP($H23,Data!$C$6:$Y$29,3,FALSE))</f>
        <v>Non-Inverter</v>
      </c>
      <c r="L23" s="2" t="str">
        <f>IF($H23="","",VLOOKUP($H23,Data!$C$6:$Y$29,4,FALSE))</f>
        <v>R-410A</v>
      </c>
      <c r="M23" s="2" t="str">
        <f>IF($H23="","",VLOOKUP($H23,Data!$C$6:$Y$29,5,FALSE))</f>
        <v>24/16</v>
      </c>
      <c r="N23" s="2">
        <f>IF($H23="","",VLOOKUP($H23,Data!$C$6:$Y$29,6,FALSE))</f>
        <v>46</v>
      </c>
      <c r="O23" s="2">
        <f>IF($H23="","",VLOOKUP($H23,Data!$C$6:$Y$29,7,FALSE))</f>
        <v>4.24</v>
      </c>
      <c r="P23" s="2">
        <f>IF($H23="","",VLOOKUP($H23,Data!$C$6:$Y$29,8,FALSE))</f>
        <v>4.1100000000000003</v>
      </c>
      <c r="Q23" s="2">
        <f>IF($H23="","",VLOOKUP($H23,Data!$C$6:$Y$29,9,FALSE))</f>
        <v>255</v>
      </c>
      <c r="R23" s="2" t="str">
        <f>IF($H23="","",VLOOKUP($H23,Data!$C$6:$Y$29,10,FALSE))</f>
        <v>MEDIUM</v>
      </c>
      <c r="S23" s="2">
        <f>IF($H23="","",VLOOKUP($H23,Data!$C$6:$Y$29,11,FALSE))</f>
        <v>1.77</v>
      </c>
      <c r="T23" s="2">
        <f>IF($H23="","",VLOOKUP($H23,Data!$C$6:$Y$29,12,FALSE))</f>
        <v>1.8</v>
      </c>
      <c r="U23" s="2">
        <f>IF($H23="","",VLOOKUP($H23,Data!$C$6:$Y$29,13,FALSE))</f>
        <v>3.49</v>
      </c>
      <c r="V23" s="2">
        <f>IF($H23="","",VLOOKUP($H23,Data!$C$6:$Y$29,14,FALSE))</f>
        <v>40</v>
      </c>
      <c r="W23" s="2" t="str">
        <f>IF($H23="","",VLOOKUP($H23,Data!$C$6:$Y$29,15,FALSE))</f>
        <v>220-240/1/50</v>
      </c>
      <c r="X23" s="2">
        <f>IF($H23="","",VLOOKUP($H23,Data!$C$6:$Y$29,16,FALSE))</f>
        <v>261</v>
      </c>
      <c r="Y23" s="2">
        <f>IF($H23="","",VLOOKUP($H23,Data!$C$6:$Y$29,17,FALSE))</f>
        <v>1200</v>
      </c>
      <c r="Z23" s="2">
        <f>IF($H23="","",VLOOKUP($H23,Data!$C$6:$Y$29,18,FALSE))</f>
        <v>448</v>
      </c>
      <c r="AA23" s="2">
        <f>IF($H23="","",VLOOKUP($H23,Data!$C$6:$Y$29,19,FALSE))</f>
        <v>753</v>
      </c>
      <c r="AB23" s="2">
        <f>IF($H23="","",VLOOKUP($H23,Data!$C$6:$Y$29,20,FALSE))</f>
        <v>855</v>
      </c>
      <c r="AC23" s="2">
        <f>IF($H23="","",VLOOKUP($H23,Data!$C$6:$Y$29,21,FALSE))</f>
        <v>328</v>
      </c>
      <c r="AD23" s="2">
        <f>IF($H23="","",VLOOKUP($H23,Data!$C$6:$Y$29,22,FALSE))</f>
        <v>26</v>
      </c>
      <c r="AE23" s="3">
        <f>IF($H23="","",VLOOKUP($H23,Data!$C$6:$Y$29,23,FALSE))</f>
        <v>47</v>
      </c>
      <c r="AG23" s="76" t="str">
        <f>IF($E23="","",IF($C23="DUCTED",VLOOKUP($E23,'DX-Data'!$D$5:$J$11,7,TRUE),IF($C23="DECORATIVE",VLOOKUP($E23,'DX-Data'!$D$19:$J$23,7,TRUE),IF($C23="PACKAGED",VLOOKUP($E23,'DX-Data'!$D$24:$J$30,7,TRUE),IF($C23="DUCTED-INV",VLOOKUP($E23,'DX-Data'!$D$12:$J$18,7,TRUE),"CHOOSE AC TYPE")))))</f>
        <v>FDMRN20AVKU - RR20AVKU</v>
      </c>
      <c r="AH23" s="76" t="str">
        <f>IF($F$9=TRUE,IF($C23="DUCTED",VLOOKUP($F23,'DX-Data'!$F$5:$J$11,5,TRUE),IF($C23="DECORATIVE",VLOOKUP($F23,'DX-Data'!$F$19:$J$23,5,TRUE),IF($C23="PACKAGED",VLOOKUP($F23,'DX-Data'!$F$24:$J$30,5,TRUE),IF($C23="DUCTED-INV",VLOOKUP($F23,'DX-Data'!$F$12:$J$18,5,TRUE),"CHOOSE AC TYPE")))),"NO SELECTION")</f>
        <v>FDMRN20AVKU - RR20AVKU</v>
      </c>
      <c r="AI23" s="76" t="str">
        <f>IF($G$9=TRUE,IF($C23="DUCTED",VLOOKUP($G23,'DX-Data'!$H$5:$J$11,3,TRUE),IF($C23="DECORATIVE",VLOOKUP($G23,'DX-Data'!$H$19:$J$23,3,TRUE),IF($C23="PACKAGED",VLOOKUP($G23,'DX-Data'!$H$24:$J$30,3,TRUE),IF($C23="DUCTED-INV",VLOOKUP($G23,'DX-Data'!$H$12:$J$18,3,TRUE),"CHOOSE AC TYPE")))),"NO SELECTION")</f>
        <v>NO SELECTION</v>
      </c>
      <c r="AJ23" s="77">
        <f>IF($E23="","",IF($C23="DUCTED",VLOOKUP($E23,'DX-Data'!$D$5:$J$11,6,TRUE),IF($C23="DECORATIVE",VLOOKUP($E23,'DX-Data'!$D$19:$J$23,6,TRUE),IF($C23="PACKAGED",VLOOKUP($E23,'DX-Data'!$D$24:$J$30,6,TRUE),IF($C23="DUCTED-INV",VLOOKUP($E23,'DX-Data'!$D$12:$J$18,6,TRUE),0)))))</f>
        <v>1</v>
      </c>
      <c r="AK23" s="77">
        <f>IF($F$9=TRUE,IF($C23="DUCTED",VLOOKUP($F23,'DX-Data'!$F$5:$J$11,4,TRUE),IF($C23="DECORATIVE",VLOOKUP($F23,'DX-Data'!$F$19:$J$23,4,TRUE),IF($C23="PACKAGED",VLOOKUP($F23,'DX-Data'!$F$24:$J$30,4,TRUE),IF($C23="DUCTED-INV",VLOOKUP($F23,'DX-Data'!$F$12:$J$18,4,TRUE),"CHOOSE AC TYPE")))),0)</f>
        <v>1</v>
      </c>
      <c r="AL23" s="77">
        <f>IF($G$9=TRUE,IF($C23="DUCTED",VLOOKUP($G23,'DX-Data'!$H$5:$J$11,2,TRUE),IF($C23="DECORATIVE",VLOOKUP($G23,'DX-Data'!$H$19:$J$23,2,TRUE),IF($C23="PACKAGED",VLOOKUP($G23,'DX-Data'!$H$24:$J$30,2,TRUE),IF($C23="DUCTED-INV",VLOOKUP($G23,'DX-Data'!$H$12:$J$18,2,TRUE),"CHOOSE AC TYPE")))),0)</f>
        <v>0</v>
      </c>
      <c r="AM23" s="77">
        <f t="shared" si="5"/>
        <v>1</v>
      </c>
      <c r="AN23" s="76" t="str">
        <f>IF(E23="","",VLOOKUP($AM23,'DX-Data'!$I$5:$J$31,2,FALSE))</f>
        <v>FDMRN20AVKU - RR20AVKU</v>
      </c>
      <c r="AO23" s="77">
        <f t="shared" si="6"/>
        <v>1</v>
      </c>
    </row>
    <row r="24" spans="2:41" x14ac:dyDescent="0.3">
      <c r="B24" s="71" t="s">
        <v>107</v>
      </c>
      <c r="C24" s="26" t="s">
        <v>38</v>
      </c>
      <c r="D24" s="27" t="s">
        <v>188</v>
      </c>
      <c r="E24" s="26">
        <v>1.6</v>
      </c>
      <c r="F24" s="26">
        <v>1.5</v>
      </c>
      <c r="G24" s="82">
        <v>135</v>
      </c>
      <c r="H24" s="74" t="str">
        <f t="shared" si="7"/>
        <v>FDMRN20AVKU - RR20AVKU</v>
      </c>
      <c r="I24" s="2">
        <f t="shared" si="8"/>
        <v>1</v>
      </c>
      <c r="J24" s="21">
        <f>IF($H24="","",VLOOKUP($H24,Data!$C$6:$Y$29,2,FALSE))</f>
        <v>1.5</v>
      </c>
      <c r="K24" s="2" t="str">
        <f>IF($H24="","",VLOOKUP($H24,Data!$C$6:$Y$29,3,FALSE))</f>
        <v>Non-Inverter</v>
      </c>
      <c r="L24" s="2" t="str">
        <f>IF($H24="","",VLOOKUP($H24,Data!$C$6:$Y$29,4,FALSE))</f>
        <v>R-410A</v>
      </c>
      <c r="M24" s="2" t="str">
        <f>IF($H24="","",VLOOKUP($H24,Data!$C$6:$Y$29,5,FALSE))</f>
        <v>24/16</v>
      </c>
      <c r="N24" s="2">
        <f>IF($H24="","",VLOOKUP($H24,Data!$C$6:$Y$29,6,FALSE))</f>
        <v>46</v>
      </c>
      <c r="O24" s="2">
        <f>IF($H24="","",VLOOKUP($H24,Data!$C$6:$Y$29,7,FALSE))</f>
        <v>4.24</v>
      </c>
      <c r="P24" s="2">
        <f>IF($H24="","",VLOOKUP($H24,Data!$C$6:$Y$29,8,FALSE))</f>
        <v>4.1100000000000003</v>
      </c>
      <c r="Q24" s="2">
        <f>IF($H24="","",VLOOKUP($H24,Data!$C$6:$Y$29,9,FALSE))</f>
        <v>255</v>
      </c>
      <c r="R24" s="2" t="str">
        <f>IF($H24="","",VLOOKUP($H24,Data!$C$6:$Y$29,10,FALSE))</f>
        <v>MEDIUM</v>
      </c>
      <c r="S24" s="2">
        <f>IF($H24="","",VLOOKUP($H24,Data!$C$6:$Y$29,11,FALSE))</f>
        <v>1.77</v>
      </c>
      <c r="T24" s="2">
        <f>IF($H24="","",VLOOKUP($H24,Data!$C$6:$Y$29,12,FALSE))</f>
        <v>1.8</v>
      </c>
      <c r="U24" s="2">
        <f>IF($H24="","",VLOOKUP($H24,Data!$C$6:$Y$29,13,FALSE))</f>
        <v>3.49</v>
      </c>
      <c r="V24" s="2">
        <f>IF($H24="","",VLOOKUP($H24,Data!$C$6:$Y$29,14,FALSE))</f>
        <v>40</v>
      </c>
      <c r="W24" s="2" t="str">
        <f>IF($H24="","",VLOOKUP($H24,Data!$C$6:$Y$29,15,FALSE))</f>
        <v>220-240/1/50</v>
      </c>
      <c r="X24" s="2">
        <f>IF($H24="","",VLOOKUP($H24,Data!$C$6:$Y$29,16,FALSE))</f>
        <v>261</v>
      </c>
      <c r="Y24" s="2">
        <f>IF($H24="","",VLOOKUP($H24,Data!$C$6:$Y$29,17,FALSE))</f>
        <v>1200</v>
      </c>
      <c r="Z24" s="2">
        <f>IF($H24="","",VLOOKUP($H24,Data!$C$6:$Y$29,18,FALSE))</f>
        <v>448</v>
      </c>
      <c r="AA24" s="2">
        <f>IF($H24="","",VLOOKUP($H24,Data!$C$6:$Y$29,19,FALSE))</f>
        <v>753</v>
      </c>
      <c r="AB24" s="2">
        <f>IF($H24="","",VLOOKUP($H24,Data!$C$6:$Y$29,20,FALSE))</f>
        <v>855</v>
      </c>
      <c r="AC24" s="2">
        <f>IF($H24="","",VLOOKUP($H24,Data!$C$6:$Y$29,21,FALSE))</f>
        <v>328</v>
      </c>
      <c r="AD24" s="2">
        <f>IF($H24="","",VLOOKUP($H24,Data!$C$6:$Y$29,22,FALSE))</f>
        <v>26</v>
      </c>
      <c r="AE24" s="3">
        <f>IF($H24="","",VLOOKUP($H24,Data!$C$6:$Y$29,23,FALSE))</f>
        <v>47</v>
      </c>
      <c r="AG24" s="76" t="str">
        <f>IF($E24="","",IF($C24="DUCTED",VLOOKUP($E24,'DX-Data'!$D$5:$J$11,7,TRUE),IF($C24="DECORATIVE",VLOOKUP($E24,'DX-Data'!$D$19:$J$23,7,TRUE),IF($C24="PACKAGED",VLOOKUP($E24,'DX-Data'!$D$24:$J$30,7,TRUE),IF($C24="DUCTED-INV",VLOOKUP($E24,'DX-Data'!$D$12:$J$18,7,TRUE),"CHOOSE AC TYPE")))))</f>
        <v>FDMRN20AVKU - RR20AVKU</v>
      </c>
      <c r="AH24" s="76" t="str">
        <f>IF($F$9=TRUE,IF($C24="DUCTED",VLOOKUP($F24,'DX-Data'!$F$5:$J$11,5,TRUE),IF($C24="DECORATIVE",VLOOKUP($F24,'DX-Data'!$F$19:$J$23,5,TRUE),IF($C24="PACKAGED",VLOOKUP($F24,'DX-Data'!$F$24:$J$30,5,TRUE),IF($C24="DUCTED-INV",VLOOKUP($F24,'DX-Data'!$F$12:$J$18,5,TRUE),"CHOOSE AC TYPE")))),"NO SELECTION")</f>
        <v>FDMRN20AVKU - RR20AVKU</v>
      </c>
      <c r="AI24" s="76" t="str">
        <f>IF($G$9=TRUE,IF($C24="DUCTED",VLOOKUP($G24,'DX-Data'!$H$5:$J$11,3,TRUE),IF($C24="DECORATIVE",VLOOKUP($G24,'DX-Data'!$H$19:$J$23,3,TRUE),IF($C24="PACKAGED",VLOOKUP($G24,'DX-Data'!$H$24:$J$30,3,TRUE),IF($C24="DUCTED-INV",VLOOKUP($G24,'DX-Data'!$H$12:$J$18,3,TRUE),"CHOOSE AC TYPE")))),"NO SELECTION")</f>
        <v>NO SELECTION</v>
      </c>
      <c r="AJ24" s="77">
        <f>IF($E24="","",IF($C24="DUCTED",VLOOKUP($E24,'DX-Data'!$D$5:$J$11,6,TRUE),IF($C24="DECORATIVE",VLOOKUP($E24,'DX-Data'!$D$19:$J$23,6,TRUE),IF($C24="PACKAGED",VLOOKUP($E24,'DX-Data'!$D$24:$J$30,6,TRUE),IF($C24="DUCTED-INV",VLOOKUP($E24,'DX-Data'!$D$12:$J$18,6,TRUE),0)))))</f>
        <v>1</v>
      </c>
      <c r="AK24" s="77">
        <f>IF($F$9=TRUE,IF($C24="DUCTED",VLOOKUP($F24,'DX-Data'!$F$5:$J$11,4,TRUE),IF($C24="DECORATIVE",VLOOKUP($F24,'DX-Data'!$F$19:$J$23,4,TRUE),IF($C24="PACKAGED",VLOOKUP($F24,'DX-Data'!$F$24:$J$30,4,TRUE),IF($C24="DUCTED-INV",VLOOKUP($F24,'DX-Data'!$F$12:$J$18,4,TRUE),"CHOOSE AC TYPE")))),0)</f>
        <v>1</v>
      </c>
      <c r="AL24" s="77">
        <f>IF($G$9=TRUE,IF($C24="DUCTED",VLOOKUP($G24,'DX-Data'!$H$5:$J$11,2,TRUE),IF($C24="DECORATIVE",VLOOKUP($G24,'DX-Data'!$H$19:$J$23,2,TRUE),IF($C24="PACKAGED",VLOOKUP($G24,'DX-Data'!$H$24:$J$30,2,TRUE),IF($C24="DUCTED-INV",VLOOKUP($G24,'DX-Data'!$H$12:$J$18,2,TRUE),"CHOOSE AC TYPE")))),0)</f>
        <v>0</v>
      </c>
      <c r="AM24" s="77">
        <f t="shared" si="5"/>
        <v>1</v>
      </c>
      <c r="AN24" s="76" t="str">
        <f>IF(E24="","",VLOOKUP($AM24,'DX-Data'!$I$5:$J$31,2,FALSE))</f>
        <v>FDMRN20AVKU - RR20AVKU</v>
      </c>
      <c r="AO24" s="77">
        <f t="shared" si="6"/>
        <v>1</v>
      </c>
    </row>
    <row r="25" spans="2:41" x14ac:dyDescent="0.3">
      <c r="B25" s="84"/>
      <c r="C25" s="26"/>
      <c r="D25" s="27"/>
      <c r="E25" s="26"/>
      <c r="F25" s="26"/>
      <c r="G25" s="82"/>
      <c r="H25" s="74"/>
      <c r="I25" s="2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/>
      <c r="AG25" s="76"/>
      <c r="AH25" s="76"/>
      <c r="AI25" s="76"/>
      <c r="AJ25" s="77"/>
      <c r="AK25" s="77"/>
      <c r="AL25" s="77"/>
      <c r="AM25" s="77"/>
      <c r="AN25" s="76"/>
      <c r="AO25" s="77"/>
    </row>
    <row r="26" spans="2:41" x14ac:dyDescent="0.3">
      <c r="B26" s="71" t="s">
        <v>108</v>
      </c>
      <c r="C26" s="26" t="s">
        <v>38</v>
      </c>
      <c r="D26" s="27" t="s">
        <v>189</v>
      </c>
      <c r="E26" s="26">
        <v>2.9</v>
      </c>
      <c r="F26" s="26">
        <v>2.8</v>
      </c>
      <c r="G26" s="82">
        <v>276</v>
      </c>
      <c r="H26" s="74" t="str">
        <f t="shared" si="7"/>
        <v>FDMRN20AVKU - RR20AVKU</v>
      </c>
      <c r="I26" s="2">
        <f t="shared" si="8"/>
        <v>1</v>
      </c>
      <c r="J26" s="21">
        <f>IF($H26="","",VLOOKUP($H26,Data!$C$6:$Y$29,2,FALSE))</f>
        <v>1.5</v>
      </c>
      <c r="K26" s="2" t="str">
        <f>IF($H26="","",VLOOKUP($H26,Data!$C$6:$Y$29,3,FALSE))</f>
        <v>Non-Inverter</v>
      </c>
      <c r="L26" s="2" t="str">
        <f>IF($H26="","",VLOOKUP($H26,Data!$C$6:$Y$29,4,FALSE))</f>
        <v>R-410A</v>
      </c>
      <c r="M26" s="2" t="str">
        <f>IF($H26="","",VLOOKUP($H26,Data!$C$6:$Y$29,5,FALSE))</f>
        <v>24/16</v>
      </c>
      <c r="N26" s="2">
        <f>IF($H26="","",VLOOKUP($H26,Data!$C$6:$Y$29,6,FALSE))</f>
        <v>46</v>
      </c>
      <c r="O26" s="2">
        <f>IF($H26="","",VLOOKUP($H26,Data!$C$6:$Y$29,7,FALSE))</f>
        <v>4.24</v>
      </c>
      <c r="P26" s="2">
        <f>IF($H26="","",VLOOKUP($H26,Data!$C$6:$Y$29,8,FALSE))</f>
        <v>4.1100000000000003</v>
      </c>
      <c r="Q26" s="2">
        <f>IF($H26="","",VLOOKUP($H26,Data!$C$6:$Y$29,9,FALSE))</f>
        <v>255</v>
      </c>
      <c r="R26" s="2" t="str">
        <f>IF($H26="","",VLOOKUP($H26,Data!$C$6:$Y$29,10,FALSE))</f>
        <v>MEDIUM</v>
      </c>
      <c r="S26" s="2">
        <f>IF($H26="","",VLOOKUP($H26,Data!$C$6:$Y$29,11,FALSE))</f>
        <v>1.77</v>
      </c>
      <c r="T26" s="2">
        <f>IF($H26="","",VLOOKUP($H26,Data!$C$6:$Y$29,12,FALSE))</f>
        <v>1.8</v>
      </c>
      <c r="U26" s="2">
        <f>IF($H26="","",VLOOKUP($H26,Data!$C$6:$Y$29,13,FALSE))</f>
        <v>3.49</v>
      </c>
      <c r="V26" s="2">
        <f>IF($H26="","",VLOOKUP($H26,Data!$C$6:$Y$29,14,FALSE))</f>
        <v>40</v>
      </c>
      <c r="W26" s="2" t="str">
        <f>IF($H26="","",VLOOKUP($H26,Data!$C$6:$Y$29,15,FALSE))</f>
        <v>220-240/1/50</v>
      </c>
      <c r="X26" s="2">
        <f>IF($H26="","",VLOOKUP($H26,Data!$C$6:$Y$29,16,FALSE))</f>
        <v>261</v>
      </c>
      <c r="Y26" s="2">
        <f>IF($H26="","",VLOOKUP($H26,Data!$C$6:$Y$29,17,FALSE))</f>
        <v>1200</v>
      </c>
      <c r="Z26" s="2">
        <f>IF($H26="","",VLOOKUP($H26,Data!$C$6:$Y$29,18,FALSE))</f>
        <v>448</v>
      </c>
      <c r="AA26" s="2">
        <f>IF($H26="","",VLOOKUP($H26,Data!$C$6:$Y$29,19,FALSE))</f>
        <v>753</v>
      </c>
      <c r="AB26" s="2">
        <f>IF($H26="","",VLOOKUP($H26,Data!$C$6:$Y$29,20,FALSE))</f>
        <v>855</v>
      </c>
      <c r="AC26" s="2">
        <f>IF($H26="","",VLOOKUP($H26,Data!$C$6:$Y$29,21,FALSE))</f>
        <v>328</v>
      </c>
      <c r="AD26" s="2">
        <f>IF($H26="","",VLOOKUP($H26,Data!$C$6:$Y$29,22,FALSE))</f>
        <v>26</v>
      </c>
      <c r="AE26" s="3">
        <f>IF($H26="","",VLOOKUP($H26,Data!$C$6:$Y$29,23,FALSE))</f>
        <v>47</v>
      </c>
      <c r="AG26" s="76" t="str">
        <f>IF($E26="","",IF($C26="DUCTED",VLOOKUP($E26,'DX-Data'!$D$5:$J$11,7,TRUE),IF($C26="DECORATIVE",VLOOKUP($E26,'DX-Data'!$D$19:$J$23,7,TRUE),IF($C26="PACKAGED",VLOOKUP($E26,'DX-Data'!$D$24:$J$30,7,TRUE),IF($C26="DUCTED-INV",VLOOKUP($E26,'DX-Data'!$D$12:$J$18,7,TRUE),"CHOOSE AC TYPE")))))</f>
        <v>FDMRN20AVKU - RR20AVKU</v>
      </c>
      <c r="AH26" s="76" t="str">
        <f>IF($F$9=TRUE,IF($C26="DUCTED",VLOOKUP($F26,'DX-Data'!$F$5:$J$11,5,TRUE),IF($C26="DECORATIVE",VLOOKUP($F26,'DX-Data'!$F$19:$J$23,5,TRUE),IF($C26="PACKAGED",VLOOKUP($F26,'DX-Data'!$F$24:$J$30,5,TRUE),IF($C26="DUCTED-INV",VLOOKUP($F26,'DX-Data'!$F$12:$J$18,5,TRUE),"CHOOSE AC TYPE")))),"NO SELECTION")</f>
        <v>FDMRN20AVKU - RR20AVKU</v>
      </c>
      <c r="AI26" s="76" t="str">
        <f>IF($G$9=TRUE,IF($C26="DUCTED",VLOOKUP($G26,'DX-Data'!$H$5:$J$11,3,TRUE),IF($C26="DECORATIVE",VLOOKUP($G26,'DX-Data'!$H$19:$J$23,3,TRUE),IF($C26="PACKAGED",VLOOKUP($G26,'DX-Data'!$H$24:$J$30,3,TRUE),IF($C26="DUCTED-INV",VLOOKUP($G26,'DX-Data'!$H$12:$J$18,3,TRUE),"CHOOSE AC TYPE")))),"NO SELECTION")</f>
        <v>NO SELECTION</v>
      </c>
      <c r="AJ26" s="77">
        <f>IF($E26="","",IF($C26="DUCTED",VLOOKUP($E26,'DX-Data'!$D$5:$J$11,6,TRUE),IF($C26="DECORATIVE",VLOOKUP($E26,'DX-Data'!$D$19:$J$23,6,TRUE),IF($C26="PACKAGED",VLOOKUP($E26,'DX-Data'!$D$24:$J$30,6,TRUE),IF($C26="DUCTED-INV",VLOOKUP($E26,'DX-Data'!$D$12:$J$18,6,TRUE),0)))))</f>
        <v>1</v>
      </c>
      <c r="AK26" s="77">
        <f>IF($F$9=TRUE,IF($C26="DUCTED",VLOOKUP($F26,'DX-Data'!$F$5:$J$11,4,TRUE),IF($C26="DECORATIVE",VLOOKUP($F26,'DX-Data'!$F$19:$J$23,4,TRUE),IF($C26="PACKAGED",VLOOKUP($F26,'DX-Data'!$F$24:$J$30,4,TRUE),IF($C26="DUCTED-INV",VLOOKUP($F26,'DX-Data'!$F$12:$J$18,4,TRUE),"CHOOSE AC TYPE")))),0)</f>
        <v>1</v>
      </c>
      <c r="AL26" s="77">
        <f>IF($G$9=TRUE,IF($C26="DUCTED",VLOOKUP($G26,'DX-Data'!$H$5:$J$11,2,TRUE),IF($C26="DECORATIVE",VLOOKUP($G26,'DX-Data'!$H$19:$J$23,2,TRUE),IF($C26="PACKAGED",VLOOKUP($G26,'DX-Data'!$H$24:$J$30,2,TRUE),IF($C26="DUCTED-INV",VLOOKUP($G26,'DX-Data'!$H$12:$J$18,2,TRUE),"CHOOSE AC TYPE")))),0)</f>
        <v>0</v>
      </c>
      <c r="AM26" s="77">
        <f t="shared" si="5"/>
        <v>1</v>
      </c>
      <c r="AN26" s="76" t="str">
        <f>IF(E26="","",VLOOKUP($AM26,'DX-Data'!$I$5:$J$31,2,FALSE))</f>
        <v>FDMRN20AVKU - RR20AVKU</v>
      </c>
      <c r="AO26" s="77">
        <f t="shared" si="6"/>
        <v>1</v>
      </c>
    </row>
    <row r="27" spans="2:41" x14ac:dyDescent="0.3">
      <c r="B27" s="84"/>
      <c r="C27" s="26"/>
      <c r="D27" s="27"/>
      <c r="E27" s="26"/>
      <c r="F27" s="26"/>
      <c r="G27" s="82"/>
      <c r="H27" s="74"/>
      <c r="I27" s="2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/>
      <c r="AG27" s="76"/>
      <c r="AH27" s="76"/>
      <c r="AI27" s="76"/>
      <c r="AJ27" s="77"/>
      <c r="AK27" s="77"/>
      <c r="AL27" s="77"/>
      <c r="AM27" s="77"/>
      <c r="AN27" s="76"/>
      <c r="AO27" s="77"/>
    </row>
    <row r="28" spans="2:41" x14ac:dyDescent="0.3">
      <c r="B28" s="71" t="s">
        <v>109</v>
      </c>
      <c r="C28" s="26" t="s">
        <v>38</v>
      </c>
      <c r="D28" s="27" t="s">
        <v>190</v>
      </c>
      <c r="E28" s="26">
        <v>9.1</v>
      </c>
      <c r="F28" s="26">
        <v>7.7</v>
      </c>
      <c r="G28" s="82">
        <v>757</v>
      </c>
      <c r="H28" s="74" t="str">
        <f t="shared" si="7"/>
        <v>FDMRN50AVKU - RR50AYKU</v>
      </c>
      <c r="I28" s="2">
        <f t="shared" si="8"/>
        <v>1</v>
      </c>
      <c r="J28" s="21">
        <f>IF($H28="","",VLOOKUP($H28,Data!$C$6:$Y$29,2,FALSE))</f>
        <v>4</v>
      </c>
      <c r="K28" s="2" t="str">
        <f>IF($H28="","",VLOOKUP($H28,Data!$C$6:$Y$29,3,FALSE))</f>
        <v>Non-Inverter</v>
      </c>
      <c r="L28" s="2" t="str">
        <f>IF($H28="","",VLOOKUP($H28,Data!$C$6:$Y$29,4,FALSE))</f>
        <v>R-410A</v>
      </c>
      <c r="M28" s="2" t="str">
        <f>IF($H28="","",VLOOKUP($H28,Data!$C$6:$Y$29,5,FALSE))</f>
        <v>24/16</v>
      </c>
      <c r="N28" s="2">
        <f>IF($H28="","",VLOOKUP($H28,Data!$C$6:$Y$29,6,FALSE))</f>
        <v>46</v>
      </c>
      <c r="O28" s="2">
        <f>IF($H28="","",VLOOKUP($H28,Data!$C$6:$Y$29,7,FALSE))</f>
        <v>11.46</v>
      </c>
      <c r="P28" s="2">
        <f>IF($H28="","",VLOOKUP($H28,Data!$C$6:$Y$29,8,FALSE))</f>
        <v>9.9600000000000009</v>
      </c>
      <c r="Q28" s="2">
        <f>IF($H28="","",VLOOKUP($H28,Data!$C$6:$Y$29,9,FALSE))</f>
        <v>686</v>
      </c>
      <c r="R28" s="2" t="str">
        <f>IF($H28="","",VLOOKUP($H28,Data!$C$6:$Y$29,10,FALSE))</f>
        <v>MEDIUM</v>
      </c>
      <c r="S28" s="2">
        <f>IF($H28="","",VLOOKUP($H28,Data!$C$6:$Y$29,11,FALSE))</f>
        <v>4.7</v>
      </c>
      <c r="T28" s="2">
        <f>IF($H28="","",VLOOKUP($H28,Data!$C$6:$Y$29,12,FALSE))</f>
        <v>4.95</v>
      </c>
      <c r="U28" s="2">
        <f>IF($H28="","",VLOOKUP($H28,Data!$C$6:$Y$29,13,FALSE))</f>
        <v>3.41</v>
      </c>
      <c r="V28" s="2">
        <f>IF($H28="","",VLOOKUP($H28,Data!$C$6:$Y$29,14,FALSE))</f>
        <v>50</v>
      </c>
      <c r="W28" s="2" t="str">
        <f>IF($H28="","",VLOOKUP($H28,Data!$C$6:$Y$29,15,FALSE))</f>
        <v>380-415/3/50</v>
      </c>
      <c r="X28" s="2">
        <f>IF($H28="","",VLOOKUP($H28,Data!$C$6:$Y$29,16,FALSE))</f>
        <v>378</v>
      </c>
      <c r="Y28" s="2">
        <f>IF($H28="","",VLOOKUP($H28,Data!$C$6:$Y$29,17,FALSE))</f>
        <v>1569</v>
      </c>
      <c r="Z28" s="2">
        <f>IF($H28="","",VLOOKUP($H28,Data!$C$6:$Y$29,18,FALSE))</f>
        <v>541</v>
      </c>
      <c r="AA28" s="2">
        <f>IF($H28="","",VLOOKUP($H28,Data!$C$6:$Y$29,19,FALSE))</f>
        <v>852</v>
      </c>
      <c r="AB28" s="2">
        <f>IF($H28="","",VLOOKUP($H28,Data!$C$6:$Y$29,20,FALSE))</f>
        <v>1030</v>
      </c>
      <c r="AC28" s="2">
        <f>IF($H28="","",VLOOKUP($H28,Data!$C$6:$Y$29,21,FALSE))</f>
        <v>400</v>
      </c>
      <c r="AD28" s="2">
        <f>IF($H28="","",VLOOKUP($H28,Data!$C$6:$Y$29,22,FALSE))</f>
        <v>56</v>
      </c>
      <c r="AE28" s="3">
        <f>IF($H28="","",VLOOKUP($H28,Data!$C$6:$Y$29,23,FALSE))</f>
        <v>87</v>
      </c>
      <c r="AG28" s="76" t="str">
        <f>IF($E28="","",IF($C28="DUCTED",VLOOKUP($E28,'DX-Data'!$D$5:$J$11,7,TRUE),IF($C28="DECORATIVE",VLOOKUP($E28,'DX-Data'!$D$19:$J$23,7,TRUE),IF($C28="PACKAGED",VLOOKUP($E28,'DX-Data'!$D$24:$J$30,7,TRUE),IF($C28="DUCTED-INV",VLOOKUP($E28,'DX-Data'!$D$12:$J$18,7,TRUE),"CHOOSE AC TYPE")))))</f>
        <v>FDMRN50AVKU - RR50AYKU</v>
      </c>
      <c r="AH28" s="76" t="str">
        <f>IF($F$9=TRUE,IF($C28="DUCTED",VLOOKUP($F28,'DX-Data'!$F$5:$J$11,5,TRUE),IF($C28="DECORATIVE",VLOOKUP($F28,'DX-Data'!$F$19:$J$23,5,TRUE),IF($C28="PACKAGED",VLOOKUP($F28,'DX-Data'!$F$24:$J$30,5,TRUE),IF($C28="DUCTED-INV",VLOOKUP($F28,'DX-Data'!$F$12:$J$18,5,TRUE),"CHOOSE AC TYPE")))),"NO SELECTION")</f>
        <v>FDMRN36AVKU - RR36AVKU</v>
      </c>
      <c r="AI28" s="76" t="str">
        <f>IF($G$9=TRUE,IF($C28="DUCTED",VLOOKUP($G28,'DX-Data'!$H$5:$J$11,3,TRUE),IF($C28="DECORATIVE",VLOOKUP($G28,'DX-Data'!$H$19:$J$23,3,TRUE),IF($C28="PACKAGED",VLOOKUP($G28,'DX-Data'!$H$24:$J$30,3,TRUE),IF($C28="DUCTED-INV",VLOOKUP($G28,'DX-Data'!$H$12:$J$18,3,TRUE),"CHOOSE AC TYPE")))),"NO SELECTION")</f>
        <v>NO SELECTION</v>
      </c>
      <c r="AJ28" s="77">
        <f>IF($E28="","",IF($C28="DUCTED",VLOOKUP($E28,'DX-Data'!$D$5:$J$11,6,TRUE),IF($C28="DECORATIVE",VLOOKUP($E28,'DX-Data'!$D$19:$J$23,6,TRUE),IF($C28="PACKAGED",VLOOKUP($E28,'DX-Data'!$D$24:$J$30,6,TRUE),IF($C28="DUCTED-INV",VLOOKUP($E28,'DX-Data'!$D$12:$J$18,6,TRUE),0)))))</f>
        <v>5</v>
      </c>
      <c r="AK28" s="77">
        <f>IF($F$9=TRUE,IF($C28="DUCTED",VLOOKUP($F28,'DX-Data'!$F$5:$J$11,4,TRUE),IF($C28="DECORATIVE",VLOOKUP($F28,'DX-Data'!$F$19:$J$23,4,TRUE),IF($C28="PACKAGED",VLOOKUP($F28,'DX-Data'!$F$24:$J$30,4,TRUE),IF($C28="DUCTED-INV",VLOOKUP($F28,'DX-Data'!$F$12:$J$18,4,TRUE),"CHOOSE AC TYPE")))),0)</f>
        <v>4</v>
      </c>
      <c r="AL28" s="77">
        <f>IF($G$9=TRUE,IF($C28="DUCTED",VLOOKUP($G28,'DX-Data'!$H$5:$J$11,2,TRUE),IF($C28="DECORATIVE",VLOOKUP($G28,'DX-Data'!$H$19:$J$23,2,TRUE),IF($C28="PACKAGED",VLOOKUP($G28,'DX-Data'!$H$24:$J$30,2,TRUE),IF($C28="DUCTED-INV",VLOOKUP($G28,'DX-Data'!$H$12:$J$18,2,TRUE),"CHOOSE AC TYPE")))),0)</f>
        <v>0</v>
      </c>
      <c r="AM28" s="77">
        <f t="shared" si="5"/>
        <v>5</v>
      </c>
      <c r="AN28" s="76" t="str">
        <f>IF(E28="","",VLOOKUP($AM28,'DX-Data'!$I$5:$J$31,2,FALSE))</f>
        <v>FDMRN50AVKU - RR50AYKU</v>
      </c>
      <c r="AO28" s="77">
        <f t="shared" si="6"/>
        <v>1</v>
      </c>
    </row>
    <row r="29" spans="2:41" x14ac:dyDescent="0.3">
      <c r="B29" s="71" t="s">
        <v>110</v>
      </c>
      <c r="C29" s="26" t="s">
        <v>38</v>
      </c>
      <c r="D29" s="27" t="s">
        <v>191</v>
      </c>
      <c r="E29" s="26">
        <v>4.4000000000000004</v>
      </c>
      <c r="F29" s="26">
        <v>3.7</v>
      </c>
      <c r="G29" s="82">
        <v>309</v>
      </c>
      <c r="H29" s="74" t="str">
        <f t="shared" si="7"/>
        <v>FDMRN25AVKU - RR25AVKU</v>
      </c>
      <c r="I29" s="2">
        <f t="shared" si="8"/>
        <v>1</v>
      </c>
      <c r="J29" s="21">
        <f>IF($H29="","",VLOOKUP($H29,Data!$C$6:$Y$29,2,FALSE))</f>
        <v>2</v>
      </c>
      <c r="K29" s="2" t="str">
        <f>IF($H29="","",VLOOKUP($H29,Data!$C$6:$Y$29,3,FALSE))</f>
        <v>Non-Inverter</v>
      </c>
      <c r="L29" s="2" t="str">
        <f>IF($H29="","",VLOOKUP($H29,Data!$C$6:$Y$29,4,FALSE))</f>
        <v>R-410A</v>
      </c>
      <c r="M29" s="2" t="str">
        <f>IF($H29="","",VLOOKUP($H29,Data!$C$6:$Y$29,5,FALSE))</f>
        <v>24/16</v>
      </c>
      <c r="N29" s="2">
        <f>IF($H29="","",VLOOKUP($H29,Data!$C$6:$Y$29,6,FALSE))</f>
        <v>46</v>
      </c>
      <c r="O29" s="2">
        <f>IF($H29="","",VLOOKUP($H29,Data!$C$6:$Y$29,7,FALSE))</f>
        <v>5.48</v>
      </c>
      <c r="P29" s="2">
        <f>IF($H29="","",VLOOKUP($H29,Data!$C$6:$Y$29,8,FALSE))</f>
        <v>5.05</v>
      </c>
      <c r="Q29" s="2">
        <f>IF($H29="","",VLOOKUP($H29,Data!$C$6:$Y$29,9,FALSE))</f>
        <v>303</v>
      </c>
      <c r="R29" s="2" t="str">
        <f>IF($H29="","",VLOOKUP($H29,Data!$C$6:$Y$29,10,FALSE))</f>
        <v>MEDIUM</v>
      </c>
      <c r="S29" s="2">
        <f>IF($H29="","",VLOOKUP($H29,Data!$C$6:$Y$29,11,FALSE))</f>
        <v>2.29</v>
      </c>
      <c r="T29" s="2">
        <f>IF($H29="","",VLOOKUP($H29,Data!$C$6:$Y$29,12,FALSE))</f>
        <v>2.35</v>
      </c>
      <c r="U29" s="2">
        <f>IF($H29="","",VLOOKUP($H29,Data!$C$6:$Y$29,13,FALSE))</f>
        <v>3.44</v>
      </c>
      <c r="V29" s="2">
        <f>IF($H29="","",VLOOKUP($H29,Data!$C$6:$Y$29,14,FALSE))</f>
        <v>40</v>
      </c>
      <c r="W29" s="2" t="str">
        <f>IF($H29="","",VLOOKUP($H29,Data!$C$6:$Y$29,15,FALSE))</f>
        <v>220-240/1/50</v>
      </c>
      <c r="X29" s="2">
        <f>IF($H29="","",VLOOKUP($H29,Data!$C$6:$Y$29,16,FALSE))</f>
        <v>378</v>
      </c>
      <c r="Y29" s="2">
        <f>IF($H29="","",VLOOKUP($H29,Data!$C$6:$Y$29,17,FALSE))</f>
        <v>1115</v>
      </c>
      <c r="Z29" s="2">
        <f>IF($H29="","",VLOOKUP($H29,Data!$C$6:$Y$29,18,FALSE))</f>
        <v>541</v>
      </c>
      <c r="AA29" s="2">
        <f>IF($H29="","",VLOOKUP($H29,Data!$C$6:$Y$29,19,FALSE))</f>
        <v>753</v>
      </c>
      <c r="AB29" s="2">
        <f>IF($H29="","",VLOOKUP($H29,Data!$C$6:$Y$29,20,FALSE))</f>
        <v>855</v>
      </c>
      <c r="AC29" s="2">
        <f>IF($H29="","",VLOOKUP($H29,Data!$C$6:$Y$29,21,FALSE))</f>
        <v>328</v>
      </c>
      <c r="AD29" s="2">
        <f>IF($H29="","",VLOOKUP($H29,Data!$C$6:$Y$29,22,FALSE))</f>
        <v>44</v>
      </c>
      <c r="AE29" s="3">
        <f>IF($H29="","",VLOOKUP($H29,Data!$C$6:$Y$29,23,FALSE))</f>
        <v>51</v>
      </c>
      <c r="AG29" s="76" t="str">
        <f>IF($E29="","",IF($C29="DUCTED",VLOOKUP($E29,'DX-Data'!$D$5:$J$11,7,TRUE),IF($C29="DECORATIVE",VLOOKUP($E29,'DX-Data'!$D$19:$J$23,7,TRUE),IF($C29="PACKAGED",VLOOKUP($E29,'DX-Data'!$D$24:$J$30,7,TRUE),IF($C29="DUCTED-INV",VLOOKUP($E29,'DX-Data'!$D$12:$J$18,7,TRUE),"CHOOSE AC TYPE")))))</f>
        <v>FDMRN25AVKU - RR25AVKU</v>
      </c>
      <c r="AH29" s="76" t="str">
        <f>IF($F$9=TRUE,IF($C29="DUCTED",VLOOKUP($F29,'DX-Data'!$F$5:$J$11,5,TRUE),IF($C29="DECORATIVE",VLOOKUP($F29,'DX-Data'!$F$19:$J$23,5,TRUE),IF($C29="PACKAGED",VLOOKUP($F29,'DX-Data'!$F$24:$J$30,5,TRUE),IF($C29="DUCTED-INV",VLOOKUP($F29,'DX-Data'!$F$12:$J$18,5,TRUE),"CHOOSE AC TYPE")))),"NO SELECTION")</f>
        <v>FDMRN20AVKU - RR20AVKU</v>
      </c>
      <c r="AI29" s="76" t="str">
        <f>IF($G$9=TRUE,IF($C29="DUCTED",VLOOKUP($G29,'DX-Data'!$H$5:$J$11,3,TRUE),IF($C29="DECORATIVE",VLOOKUP($G29,'DX-Data'!$H$19:$J$23,3,TRUE),IF($C29="PACKAGED",VLOOKUP($G29,'DX-Data'!$H$24:$J$30,3,TRUE),IF($C29="DUCTED-INV",VLOOKUP($G29,'DX-Data'!$H$12:$J$18,3,TRUE),"CHOOSE AC TYPE")))),"NO SELECTION")</f>
        <v>NO SELECTION</v>
      </c>
      <c r="AJ29" s="77">
        <f>IF($E29="","",IF($C29="DUCTED",VLOOKUP($E29,'DX-Data'!$D$5:$J$11,6,TRUE),IF($C29="DECORATIVE",VLOOKUP($E29,'DX-Data'!$D$19:$J$23,6,TRUE),IF($C29="PACKAGED",VLOOKUP($E29,'DX-Data'!$D$24:$J$30,6,TRUE),IF($C29="DUCTED-INV",VLOOKUP($E29,'DX-Data'!$D$12:$J$18,6,TRUE),0)))))</f>
        <v>2</v>
      </c>
      <c r="AK29" s="77">
        <f>IF($F$9=TRUE,IF($C29="DUCTED",VLOOKUP($F29,'DX-Data'!$F$5:$J$11,4,TRUE),IF($C29="DECORATIVE",VLOOKUP($F29,'DX-Data'!$F$19:$J$23,4,TRUE),IF($C29="PACKAGED",VLOOKUP($F29,'DX-Data'!$F$24:$J$30,4,TRUE),IF($C29="DUCTED-INV",VLOOKUP($F29,'DX-Data'!$F$12:$J$18,4,TRUE),"CHOOSE AC TYPE")))),0)</f>
        <v>1</v>
      </c>
      <c r="AL29" s="77">
        <f>IF($G$9=TRUE,IF($C29="DUCTED",VLOOKUP($G29,'DX-Data'!$H$5:$J$11,2,TRUE),IF($C29="DECORATIVE",VLOOKUP($G29,'DX-Data'!$H$19:$J$23,2,TRUE),IF($C29="PACKAGED",VLOOKUP($G29,'DX-Data'!$H$24:$J$30,2,TRUE),IF($C29="DUCTED-INV",VLOOKUP($G29,'DX-Data'!$H$12:$J$18,2,TRUE),"CHOOSE AC TYPE")))),0)</f>
        <v>0</v>
      </c>
      <c r="AM29" s="77">
        <f t="shared" si="5"/>
        <v>2</v>
      </c>
      <c r="AN29" s="76" t="str">
        <f>IF(E29="","",VLOOKUP($AM29,'DX-Data'!$I$5:$J$31,2,FALSE))</f>
        <v>FDMRN25AVKU - RR25AVKU</v>
      </c>
      <c r="AO29" s="77">
        <f t="shared" si="6"/>
        <v>1</v>
      </c>
    </row>
    <row r="30" spans="2:41" x14ac:dyDescent="0.3">
      <c r="B30" s="71" t="s">
        <v>111</v>
      </c>
      <c r="C30" s="26" t="s">
        <v>38</v>
      </c>
      <c r="D30" s="27" t="s">
        <v>192</v>
      </c>
      <c r="E30" s="26">
        <v>4.4000000000000004</v>
      </c>
      <c r="F30" s="26">
        <v>3.7</v>
      </c>
      <c r="G30" s="82">
        <v>309</v>
      </c>
      <c r="H30" s="74" t="str">
        <f t="shared" si="7"/>
        <v>FDMRN25AVKU - RR25AVKU</v>
      </c>
      <c r="I30" s="2">
        <f t="shared" si="8"/>
        <v>1</v>
      </c>
      <c r="J30" s="21">
        <f>IF($H30="","",VLOOKUP($H30,Data!$C$6:$Y$29,2,FALSE))</f>
        <v>2</v>
      </c>
      <c r="K30" s="2" t="str">
        <f>IF($H30="","",VLOOKUP($H30,Data!$C$6:$Y$29,3,FALSE))</f>
        <v>Non-Inverter</v>
      </c>
      <c r="L30" s="2" t="str">
        <f>IF($H30="","",VLOOKUP($H30,Data!$C$6:$Y$29,4,FALSE))</f>
        <v>R-410A</v>
      </c>
      <c r="M30" s="2" t="str">
        <f>IF($H30="","",VLOOKUP($H30,Data!$C$6:$Y$29,5,FALSE))</f>
        <v>24/16</v>
      </c>
      <c r="N30" s="2">
        <f>IF($H30="","",VLOOKUP($H30,Data!$C$6:$Y$29,6,FALSE))</f>
        <v>46</v>
      </c>
      <c r="O30" s="2">
        <f>IF($H30="","",VLOOKUP($H30,Data!$C$6:$Y$29,7,FALSE))</f>
        <v>5.48</v>
      </c>
      <c r="P30" s="2">
        <f>IF($H30="","",VLOOKUP($H30,Data!$C$6:$Y$29,8,FALSE))</f>
        <v>5.05</v>
      </c>
      <c r="Q30" s="2">
        <f>IF($H30="","",VLOOKUP($H30,Data!$C$6:$Y$29,9,FALSE))</f>
        <v>303</v>
      </c>
      <c r="R30" s="2" t="str">
        <f>IF($H30="","",VLOOKUP($H30,Data!$C$6:$Y$29,10,FALSE))</f>
        <v>MEDIUM</v>
      </c>
      <c r="S30" s="2">
        <f>IF($H30="","",VLOOKUP($H30,Data!$C$6:$Y$29,11,FALSE))</f>
        <v>2.29</v>
      </c>
      <c r="T30" s="2">
        <f>IF($H30="","",VLOOKUP($H30,Data!$C$6:$Y$29,12,FALSE))</f>
        <v>2.35</v>
      </c>
      <c r="U30" s="2">
        <f>IF($H30="","",VLOOKUP($H30,Data!$C$6:$Y$29,13,FALSE))</f>
        <v>3.44</v>
      </c>
      <c r="V30" s="2">
        <f>IF($H30="","",VLOOKUP($H30,Data!$C$6:$Y$29,14,FALSE))</f>
        <v>40</v>
      </c>
      <c r="W30" s="2" t="str">
        <f>IF($H30="","",VLOOKUP($H30,Data!$C$6:$Y$29,15,FALSE))</f>
        <v>220-240/1/50</v>
      </c>
      <c r="X30" s="2">
        <f>IF($H30="","",VLOOKUP($H30,Data!$C$6:$Y$29,16,FALSE))</f>
        <v>378</v>
      </c>
      <c r="Y30" s="2">
        <f>IF($H30="","",VLOOKUP($H30,Data!$C$6:$Y$29,17,FALSE))</f>
        <v>1115</v>
      </c>
      <c r="Z30" s="2">
        <f>IF($H30="","",VLOOKUP($H30,Data!$C$6:$Y$29,18,FALSE))</f>
        <v>541</v>
      </c>
      <c r="AA30" s="2">
        <f>IF($H30="","",VLOOKUP($H30,Data!$C$6:$Y$29,19,FALSE))</f>
        <v>753</v>
      </c>
      <c r="AB30" s="2">
        <f>IF($H30="","",VLOOKUP($H30,Data!$C$6:$Y$29,20,FALSE))</f>
        <v>855</v>
      </c>
      <c r="AC30" s="2">
        <f>IF($H30="","",VLOOKUP($H30,Data!$C$6:$Y$29,21,FALSE))</f>
        <v>328</v>
      </c>
      <c r="AD30" s="2">
        <f>IF($H30="","",VLOOKUP($H30,Data!$C$6:$Y$29,22,FALSE))</f>
        <v>44</v>
      </c>
      <c r="AE30" s="3">
        <f>IF($H30="","",VLOOKUP($H30,Data!$C$6:$Y$29,23,FALSE))</f>
        <v>51</v>
      </c>
      <c r="AG30" s="76" t="str">
        <f>IF($E30="","",IF($C30="DUCTED",VLOOKUP($E30,'DX-Data'!$D$5:$J$11,7,TRUE),IF($C30="DECORATIVE",VLOOKUP($E30,'DX-Data'!$D$19:$J$23,7,TRUE),IF($C30="PACKAGED",VLOOKUP($E30,'DX-Data'!$D$24:$J$30,7,TRUE),IF($C30="DUCTED-INV",VLOOKUP($E30,'DX-Data'!$D$12:$J$18,7,TRUE),"CHOOSE AC TYPE")))))</f>
        <v>FDMRN25AVKU - RR25AVKU</v>
      </c>
      <c r="AH30" s="76" t="str">
        <f>IF($F$9=TRUE,IF($C30="DUCTED",VLOOKUP($F30,'DX-Data'!$F$5:$J$11,5,TRUE),IF($C30="DECORATIVE",VLOOKUP($F30,'DX-Data'!$F$19:$J$23,5,TRUE),IF($C30="PACKAGED",VLOOKUP($F30,'DX-Data'!$F$24:$J$30,5,TRUE),IF($C30="DUCTED-INV",VLOOKUP($F30,'DX-Data'!$F$12:$J$18,5,TRUE),"CHOOSE AC TYPE")))),"NO SELECTION")</f>
        <v>FDMRN20AVKU - RR20AVKU</v>
      </c>
      <c r="AI30" s="76" t="str">
        <f>IF($G$9=TRUE,IF($C30="DUCTED",VLOOKUP($G30,'DX-Data'!$H$5:$J$11,3,TRUE),IF($C30="DECORATIVE",VLOOKUP($G30,'DX-Data'!$H$19:$J$23,3,TRUE),IF($C30="PACKAGED",VLOOKUP($G30,'DX-Data'!$H$24:$J$30,3,TRUE),IF($C30="DUCTED-INV",VLOOKUP($G30,'DX-Data'!$H$12:$J$18,3,TRUE),"CHOOSE AC TYPE")))),"NO SELECTION")</f>
        <v>NO SELECTION</v>
      </c>
      <c r="AJ30" s="77">
        <f>IF($E30="","",IF($C30="DUCTED",VLOOKUP($E30,'DX-Data'!$D$5:$J$11,6,TRUE),IF($C30="DECORATIVE",VLOOKUP($E30,'DX-Data'!$D$19:$J$23,6,TRUE),IF($C30="PACKAGED",VLOOKUP($E30,'DX-Data'!$D$24:$J$30,6,TRUE),IF($C30="DUCTED-INV",VLOOKUP($E30,'DX-Data'!$D$12:$J$18,6,TRUE),0)))))</f>
        <v>2</v>
      </c>
      <c r="AK30" s="77">
        <f>IF($F$9=TRUE,IF($C30="DUCTED",VLOOKUP($F30,'DX-Data'!$F$5:$J$11,4,TRUE),IF($C30="DECORATIVE",VLOOKUP($F30,'DX-Data'!$F$19:$J$23,4,TRUE),IF($C30="PACKAGED",VLOOKUP($F30,'DX-Data'!$F$24:$J$30,4,TRUE),IF($C30="DUCTED-INV",VLOOKUP($F30,'DX-Data'!$F$12:$J$18,4,TRUE),"CHOOSE AC TYPE")))),0)</f>
        <v>1</v>
      </c>
      <c r="AL30" s="77">
        <f>IF($G$9=TRUE,IF($C30="DUCTED",VLOOKUP($G30,'DX-Data'!$H$5:$J$11,2,TRUE),IF($C30="DECORATIVE",VLOOKUP($G30,'DX-Data'!$H$19:$J$23,2,TRUE),IF($C30="PACKAGED",VLOOKUP($G30,'DX-Data'!$H$24:$J$30,2,TRUE),IF($C30="DUCTED-INV",VLOOKUP($G30,'DX-Data'!$H$12:$J$18,2,TRUE),"CHOOSE AC TYPE")))),0)</f>
        <v>0</v>
      </c>
      <c r="AM30" s="77">
        <f t="shared" si="5"/>
        <v>2</v>
      </c>
      <c r="AN30" s="76" t="str">
        <f>IF(E30="","",VLOOKUP($AM30,'DX-Data'!$I$5:$J$31,2,FALSE))</f>
        <v>FDMRN25AVKU - RR25AVKU</v>
      </c>
      <c r="AO30" s="77">
        <f t="shared" si="6"/>
        <v>1</v>
      </c>
    </row>
    <row r="31" spans="2:41" x14ac:dyDescent="0.3">
      <c r="B31" s="71" t="s">
        <v>112</v>
      </c>
      <c r="C31" s="26" t="s">
        <v>38</v>
      </c>
      <c r="D31" s="27" t="s">
        <v>193</v>
      </c>
      <c r="E31" s="26">
        <v>4.4000000000000004</v>
      </c>
      <c r="F31" s="26">
        <v>3.7</v>
      </c>
      <c r="G31" s="82">
        <v>309</v>
      </c>
      <c r="H31" s="74" t="str">
        <f t="shared" si="7"/>
        <v>FDMRN25AVKU - RR25AVKU</v>
      </c>
      <c r="I31" s="2">
        <f t="shared" si="8"/>
        <v>1</v>
      </c>
      <c r="J31" s="21">
        <f>IF($H31="","",VLOOKUP($H31,Data!$C$6:$Y$29,2,FALSE))</f>
        <v>2</v>
      </c>
      <c r="K31" s="2" t="str">
        <f>IF($H31="","",VLOOKUP($H31,Data!$C$6:$Y$29,3,FALSE))</f>
        <v>Non-Inverter</v>
      </c>
      <c r="L31" s="2" t="str">
        <f>IF($H31="","",VLOOKUP($H31,Data!$C$6:$Y$29,4,FALSE))</f>
        <v>R-410A</v>
      </c>
      <c r="M31" s="2" t="str">
        <f>IF($H31="","",VLOOKUP($H31,Data!$C$6:$Y$29,5,FALSE))</f>
        <v>24/16</v>
      </c>
      <c r="N31" s="2">
        <f>IF($H31="","",VLOOKUP($H31,Data!$C$6:$Y$29,6,FALSE))</f>
        <v>46</v>
      </c>
      <c r="O31" s="2">
        <f>IF($H31="","",VLOOKUP($H31,Data!$C$6:$Y$29,7,FALSE))</f>
        <v>5.48</v>
      </c>
      <c r="P31" s="2">
        <f>IF($H31="","",VLOOKUP($H31,Data!$C$6:$Y$29,8,FALSE))</f>
        <v>5.05</v>
      </c>
      <c r="Q31" s="2">
        <f>IF($H31="","",VLOOKUP($H31,Data!$C$6:$Y$29,9,FALSE))</f>
        <v>303</v>
      </c>
      <c r="R31" s="2" t="str">
        <f>IF($H31="","",VLOOKUP($H31,Data!$C$6:$Y$29,10,FALSE))</f>
        <v>MEDIUM</v>
      </c>
      <c r="S31" s="2">
        <f>IF($H31="","",VLOOKUP($H31,Data!$C$6:$Y$29,11,FALSE))</f>
        <v>2.29</v>
      </c>
      <c r="T31" s="2">
        <f>IF($H31="","",VLOOKUP($H31,Data!$C$6:$Y$29,12,FALSE))</f>
        <v>2.35</v>
      </c>
      <c r="U31" s="2">
        <f>IF($H31="","",VLOOKUP($H31,Data!$C$6:$Y$29,13,FALSE))</f>
        <v>3.44</v>
      </c>
      <c r="V31" s="2">
        <f>IF($H31="","",VLOOKUP($H31,Data!$C$6:$Y$29,14,FALSE))</f>
        <v>40</v>
      </c>
      <c r="W31" s="2" t="str">
        <f>IF($H31="","",VLOOKUP($H31,Data!$C$6:$Y$29,15,FALSE))</f>
        <v>220-240/1/50</v>
      </c>
      <c r="X31" s="2">
        <f>IF($H31="","",VLOOKUP($H31,Data!$C$6:$Y$29,16,FALSE))</f>
        <v>378</v>
      </c>
      <c r="Y31" s="2">
        <f>IF($H31="","",VLOOKUP($H31,Data!$C$6:$Y$29,17,FALSE))</f>
        <v>1115</v>
      </c>
      <c r="Z31" s="2">
        <f>IF($H31="","",VLOOKUP($H31,Data!$C$6:$Y$29,18,FALSE))</f>
        <v>541</v>
      </c>
      <c r="AA31" s="2">
        <f>IF($H31="","",VLOOKUP($H31,Data!$C$6:$Y$29,19,FALSE))</f>
        <v>753</v>
      </c>
      <c r="AB31" s="2">
        <f>IF($H31="","",VLOOKUP($H31,Data!$C$6:$Y$29,20,FALSE))</f>
        <v>855</v>
      </c>
      <c r="AC31" s="2">
        <f>IF($H31="","",VLOOKUP($H31,Data!$C$6:$Y$29,21,FALSE))</f>
        <v>328</v>
      </c>
      <c r="AD31" s="2">
        <f>IF($H31="","",VLOOKUP($H31,Data!$C$6:$Y$29,22,FALSE))</f>
        <v>44</v>
      </c>
      <c r="AE31" s="3">
        <f>IF($H31="","",VLOOKUP($H31,Data!$C$6:$Y$29,23,FALSE))</f>
        <v>51</v>
      </c>
      <c r="AG31" s="76" t="str">
        <f>IF($E31="","",IF($C31="DUCTED",VLOOKUP($E31,'DX-Data'!$D$5:$J$11,7,TRUE),IF($C31="DECORATIVE",VLOOKUP($E31,'DX-Data'!$D$19:$J$23,7,TRUE),IF($C31="PACKAGED",VLOOKUP($E31,'DX-Data'!$D$24:$J$30,7,TRUE),IF($C31="DUCTED-INV",VLOOKUP($E31,'DX-Data'!$D$12:$J$18,7,TRUE),"CHOOSE AC TYPE")))))</f>
        <v>FDMRN25AVKU - RR25AVKU</v>
      </c>
      <c r="AH31" s="76" t="str">
        <f>IF($F$9=TRUE,IF($C31="DUCTED",VLOOKUP($F31,'DX-Data'!$F$5:$J$11,5,TRUE),IF($C31="DECORATIVE",VLOOKUP($F31,'DX-Data'!$F$19:$J$23,5,TRUE),IF($C31="PACKAGED",VLOOKUP($F31,'DX-Data'!$F$24:$J$30,5,TRUE),IF($C31="DUCTED-INV",VLOOKUP($F31,'DX-Data'!$F$12:$J$18,5,TRUE),"CHOOSE AC TYPE")))),"NO SELECTION")</f>
        <v>FDMRN20AVKU - RR20AVKU</v>
      </c>
      <c r="AI31" s="76" t="str">
        <f>IF($G$9=TRUE,IF($C31="DUCTED",VLOOKUP($G31,'DX-Data'!$H$5:$J$11,3,TRUE),IF($C31="DECORATIVE",VLOOKUP($G31,'DX-Data'!$H$19:$J$23,3,TRUE),IF($C31="PACKAGED",VLOOKUP($G31,'DX-Data'!$H$24:$J$30,3,TRUE),IF($C31="DUCTED-INV",VLOOKUP($G31,'DX-Data'!$H$12:$J$18,3,TRUE),"CHOOSE AC TYPE")))),"NO SELECTION")</f>
        <v>NO SELECTION</v>
      </c>
      <c r="AJ31" s="77">
        <f>IF($E31="","",IF($C31="DUCTED",VLOOKUP($E31,'DX-Data'!$D$5:$J$11,6,TRUE),IF($C31="DECORATIVE",VLOOKUP($E31,'DX-Data'!$D$19:$J$23,6,TRUE),IF($C31="PACKAGED",VLOOKUP($E31,'DX-Data'!$D$24:$J$30,6,TRUE),IF($C31="DUCTED-INV",VLOOKUP($E31,'DX-Data'!$D$12:$J$18,6,TRUE),0)))))</f>
        <v>2</v>
      </c>
      <c r="AK31" s="77">
        <f>IF($F$9=TRUE,IF($C31="DUCTED",VLOOKUP($F31,'DX-Data'!$F$5:$J$11,4,TRUE),IF($C31="DECORATIVE",VLOOKUP($F31,'DX-Data'!$F$19:$J$23,4,TRUE),IF($C31="PACKAGED",VLOOKUP($F31,'DX-Data'!$F$24:$J$30,4,TRUE),IF($C31="DUCTED-INV",VLOOKUP($F31,'DX-Data'!$F$12:$J$18,4,TRUE),"CHOOSE AC TYPE")))),0)</f>
        <v>1</v>
      </c>
      <c r="AL31" s="77">
        <f>IF($G$9=TRUE,IF($C31="DUCTED",VLOOKUP($G31,'DX-Data'!$H$5:$J$11,2,TRUE),IF($C31="DECORATIVE",VLOOKUP($G31,'DX-Data'!$H$19:$J$23,2,TRUE),IF($C31="PACKAGED",VLOOKUP($G31,'DX-Data'!$H$24:$J$30,2,TRUE),IF($C31="DUCTED-INV",VLOOKUP($G31,'DX-Data'!$H$12:$J$18,2,TRUE),"CHOOSE AC TYPE")))),0)</f>
        <v>0</v>
      </c>
      <c r="AM31" s="77">
        <f t="shared" si="5"/>
        <v>2</v>
      </c>
      <c r="AN31" s="76" t="str">
        <f>IF(E31="","",VLOOKUP($AM31,'DX-Data'!$I$5:$J$31,2,FALSE))</f>
        <v>FDMRN25AVKU - RR25AVKU</v>
      </c>
      <c r="AO31" s="77">
        <f t="shared" si="6"/>
        <v>1</v>
      </c>
    </row>
    <row r="32" spans="2:41" x14ac:dyDescent="0.3">
      <c r="B32" s="71" t="s">
        <v>113</v>
      </c>
      <c r="C32" s="26" t="s">
        <v>38</v>
      </c>
      <c r="D32" s="27" t="s">
        <v>194</v>
      </c>
      <c r="E32" s="26">
        <v>10.3</v>
      </c>
      <c r="F32" s="26">
        <v>8.8000000000000007</v>
      </c>
      <c r="G32" s="82">
        <v>727</v>
      </c>
      <c r="H32" s="74" t="str">
        <f t="shared" si="7"/>
        <v>FDMRN50AVKU - RR50AYKU</v>
      </c>
      <c r="I32" s="2">
        <f t="shared" si="8"/>
        <v>1</v>
      </c>
      <c r="J32" s="21">
        <f>IF($H32="","",VLOOKUP($H32,Data!$C$6:$Y$29,2,FALSE))</f>
        <v>4</v>
      </c>
      <c r="K32" s="2" t="str">
        <f>IF($H32="","",VLOOKUP($H32,Data!$C$6:$Y$29,3,FALSE))</f>
        <v>Non-Inverter</v>
      </c>
      <c r="L32" s="2" t="str">
        <f>IF($H32="","",VLOOKUP($H32,Data!$C$6:$Y$29,4,FALSE))</f>
        <v>R-410A</v>
      </c>
      <c r="M32" s="2" t="str">
        <f>IF($H32="","",VLOOKUP($H32,Data!$C$6:$Y$29,5,FALSE))</f>
        <v>24/16</v>
      </c>
      <c r="N32" s="2">
        <f>IF($H32="","",VLOOKUP($H32,Data!$C$6:$Y$29,6,FALSE))</f>
        <v>46</v>
      </c>
      <c r="O32" s="2">
        <f>IF($H32="","",VLOOKUP($H32,Data!$C$6:$Y$29,7,FALSE))</f>
        <v>11.46</v>
      </c>
      <c r="P32" s="2">
        <f>IF($H32="","",VLOOKUP($H32,Data!$C$6:$Y$29,8,FALSE))</f>
        <v>9.9600000000000009</v>
      </c>
      <c r="Q32" s="2">
        <f>IF($H32="","",VLOOKUP($H32,Data!$C$6:$Y$29,9,FALSE))</f>
        <v>686</v>
      </c>
      <c r="R32" s="2" t="str">
        <f>IF($H32="","",VLOOKUP($H32,Data!$C$6:$Y$29,10,FALSE))</f>
        <v>MEDIUM</v>
      </c>
      <c r="S32" s="2">
        <f>IF($H32="","",VLOOKUP($H32,Data!$C$6:$Y$29,11,FALSE))</f>
        <v>4.7</v>
      </c>
      <c r="T32" s="2">
        <f>IF($H32="","",VLOOKUP($H32,Data!$C$6:$Y$29,12,FALSE))</f>
        <v>4.95</v>
      </c>
      <c r="U32" s="2">
        <f>IF($H32="","",VLOOKUP($H32,Data!$C$6:$Y$29,13,FALSE))</f>
        <v>3.41</v>
      </c>
      <c r="V32" s="2">
        <f>IF($H32="","",VLOOKUP($H32,Data!$C$6:$Y$29,14,FALSE))</f>
        <v>50</v>
      </c>
      <c r="W32" s="2" t="str">
        <f>IF($H32="","",VLOOKUP($H32,Data!$C$6:$Y$29,15,FALSE))</f>
        <v>380-415/3/50</v>
      </c>
      <c r="X32" s="2">
        <f>IF($H32="","",VLOOKUP($H32,Data!$C$6:$Y$29,16,FALSE))</f>
        <v>378</v>
      </c>
      <c r="Y32" s="2">
        <f>IF($H32="","",VLOOKUP($H32,Data!$C$6:$Y$29,17,FALSE))</f>
        <v>1569</v>
      </c>
      <c r="Z32" s="2">
        <f>IF($H32="","",VLOOKUP($H32,Data!$C$6:$Y$29,18,FALSE))</f>
        <v>541</v>
      </c>
      <c r="AA32" s="2">
        <f>IF($H32="","",VLOOKUP($H32,Data!$C$6:$Y$29,19,FALSE))</f>
        <v>852</v>
      </c>
      <c r="AB32" s="2">
        <f>IF($H32="","",VLOOKUP($H32,Data!$C$6:$Y$29,20,FALSE))</f>
        <v>1030</v>
      </c>
      <c r="AC32" s="2">
        <f>IF($H32="","",VLOOKUP($H32,Data!$C$6:$Y$29,21,FALSE))</f>
        <v>400</v>
      </c>
      <c r="AD32" s="2">
        <f>IF($H32="","",VLOOKUP($H32,Data!$C$6:$Y$29,22,FALSE))</f>
        <v>56</v>
      </c>
      <c r="AE32" s="3">
        <f>IF($H32="","",VLOOKUP($H32,Data!$C$6:$Y$29,23,FALSE))</f>
        <v>87</v>
      </c>
      <c r="AG32" s="76" t="str">
        <f>IF($E32="","",IF($C32="DUCTED",VLOOKUP($E32,'DX-Data'!$D$5:$J$11,7,TRUE),IF($C32="DECORATIVE",VLOOKUP($E32,'DX-Data'!$D$19:$J$23,7,TRUE),IF($C32="PACKAGED",VLOOKUP($E32,'DX-Data'!$D$24:$J$30,7,TRUE),IF($C32="DUCTED-INV",VLOOKUP($E32,'DX-Data'!$D$12:$J$18,7,TRUE),"CHOOSE AC TYPE")))))</f>
        <v>FDMRN50AVKU - RR50AYKU</v>
      </c>
      <c r="AH32" s="76" t="str">
        <f>IF($F$9=TRUE,IF($C32="DUCTED",VLOOKUP($F32,'DX-Data'!$F$5:$J$11,5,TRUE),IF($C32="DECORATIVE",VLOOKUP($F32,'DX-Data'!$F$19:$J$23,5,TRUE),IF($C32="PACKAGED",VLOOKUP($F32,'DX-Data'!$F$24:$J$30,5,TRUE),IF($C32="DUCTED-INV",VLOOKUP($F32,'DX-Data'!$F$12:$J$18,5,TRUE),"CHOOSE AC TYPE")))),"NO SELECTION")</f>
        <v>FDMRN50AVKU - RR50AYKU</v>
      </c>
      <c r="AI32" s="76" t="str">
        <f>IF($G$9=TRUE,IF($C32="DUCTED",VLOOKUP($G32,'DX-Data'!$H$5:$J$11,3,TRUE),IF($C32="DECORATIVE",VLOOKUP($G32,'DX-Data'!$H$19:$J$23,3,TRUE),IF($C32="PACKAGED",VLOOKUP($G32,'DX-Data'!$H$24:$J$30,3,TRUE),IF($C32="DUCTED-INV",VLOOKUP($G32,'DX-Data'!$H$12:$J$18,3,TRUE),"CHOOSE AC TYPE")))),"NO SELECTION")</f>
        <v>NO SELECTION</v>
      </c>
      <c r="AJ32" s="77">
        <f>IF($E32="","",IF($C32="DUCTED",VLOOKUP($E32,'DX-Data'!$D$5:$J$11,6,TRUE),IF($C32="DECORATIVE",VLOOKUP($E32,'DX-Data'!$D$19:$J$23,6,TRUE),IF($C32="PACKAGED",VLOOKUP($E32,'DX-Data'!$D$24:$J$30,6,TRUE),IF($C32="DUCTED-INV",VLOOKUP($E32,'DX-Data'!$D$12:$J$18,6,TRUE),0)))))</f>
        <v>5</v>
      </c>
      <c r="AK32" s="77">
        <f>IF($F$9=TRUE,IF($C32="DUCTED",VLOOKUP($F32,'DX-Data'!$F$5:$J$11,4,TRUE),IF($C32="DECORATIVE",VLOOKUP($F32,'DX-Data'!$F$19:$J$23,4,TRUE),IF($C32="PACKAGED",VLOOKUP($F32,'DX-Data'!$F$24:$J$30,4,TRUE),IF($C32="DUCTED-INV",VLOOKUP($F32,'DX-Data'!$F$12:$J$18,4,TRUE),"CHOOSE AC TYPE")))),0)</f>
        <v>5</v>
      </c>
      <c r="AL32" s="77">
        <f>IF($G$9=TRUE,IF($C32="DUCTED",VLOOKUP($G32,'DX-Data'!$H$5:$J$11,2,TRUE),IF($C32="DECORATIVE",VLOOKUP($G32,'DX-Data'!$H$19:$J$23,2,TRUE),IF($C32="PACKAGED",VLOOKUP($G32,'DX-Data'!$H$24:$J$30,2,TRUE),IF($C32="DUCTED-INV",VLOOKUP($G32,'DX-Data'!$H$12:$J$18,2,TRUE),"CHOOSE AC TYPE")))),0)</f>
        <v>0</v>
      </c>
      <c r="AM32" s="77">
        <f t="shared" si="5"/>
        <v>5</v>
      </c>
      <c r="AN32" s="76" t="str">
        <f>IF(E32="","",VLOOKUP($AM32,'DX-Data'!$I$5:$J$31,2,FALSE))</f>
        <v>FDMRN50AVKU - RR50AYKU</v>
      </c>
      <c r="AO32" s="77">
        <f t="shared" si="6"/>
        <v>1</v>
      </c>
    </row>
    <row r="33" spans="2:41" x14ac:dyDescent="0.3">
      <c r="B33" s="71" t="s">
        <v>114</v>
      </c>
      <c r="C33" s="26" t="s">
        <v>38</v>
      </c>
      <c r="D33" s="27" t="s">
        <v>195</v>
      </c>
      <c r="E33" s="26">
        <v>9.6</v>
      </c>
      <c r="F33" s="26">
        <v>8.1</v>
      </c>
      <c r="G33" s="82">
        <v>672</v>
      </c>
      <c r="H33" s="74" t="str">
        <f t="shared" si="7"/>
        <v>FDMRN50AVKU - RR50AYKU</v>
      </c>
      <c r="I33" s="2">
        <f t="shared" si="8"/>
        <v>1</v>
      </c>
      <c r="J33" s="21">
        <f>IF($H33="","",VLOOKUP($H33,Data!$C$6:$Y$29,2,FALSE))</f>
        <v>4</v>
      </c>
      <c r="K33" s="2" t="str">
        <f>IF($H33="","",VLOOKUP($H33,Data!$C$6:$Y$29,3,FALSE))</f>
        <v>Non-Inverter</v>
      </c>
      <c r="L33" s="2" t="str">
        <f>IF($H33="","",VLOOKUP($H33,Data!$C$6:$Y$29,4,FALSE))</f>
        <v>R-410A</v>
      </c>
      <c r="M33" s="2" t="str">
        <f>IF($H33="","",VLOOKUP($H33,Data!$C$6:$Y$29,5,FALSE))</f>
        <v>24/16</v>
      </c>
      <c r="N33" s="2">
        <f>IF($H33="","",VLOOKUP($H33,Data!$C$6:$Y$29,6,FALSE))</f>
        <v>46</v>
      </c>
      <c r="O33" s="2">
        <f>IF($H33="","",VLOOKUP($H33,Data!$C$6:$Y$29,7,FALSE))</f>
        <v>11.46</v>
      </c>
      <c r="P33" s="2">
        <f>IF($H33="","",VLOOKUP($H33,Data!$C$6:$Y$29,8,FALSE))</f>
        <v>9.9600000000000009</v>
      </c>
      <c r="Q33" s="2">
        <f>IF($H33="","",VLOOKUP($H33,Data!$C$6:$Y$29,9,FALSE))</f>
        <v>686</v>
      </c>
      <c r="R33" s="2" t="str">
        <f>IF($H33="","",VLOOKUP($H33,Data!$C$6:$Y$29,10,FALSE))</f>
        <v>MEDIUM</v>
      </c>
      <c r="S33" s="2">
        <f>IF($H33="","",VLOOKUP($H33,Data!$C$6:$Y$29,11,FALSE))</f>
        <v>4.7</v>
      </c>
      <c r="T33" s="2">
        <f>IF($H33="","",VLOOKUP($H33,Data!$C$6:$Y$29,12,FALSE))</f>
        <v>4.95</v>
      </c>
      <c r="U33" s="2">
        <f>IF($H33="","",VLOOKUP($H33,Data!$C$6:$Y$29,13,FALSE))</f>
        <v>3.41</v>
      </c>
      <c r="V33" s="2">
        <f>IF($H33="","",VLOOKUP($H33,Data!$C$6:$Y$29,14,FALSE))</f>
        <v>50</v>
      </c>
      <c r="W33" s="2" t="str">
        <f>IF($H33="","",VLOOKUP($H33,Data!$C$6:$Y$29,15,FALSE))</f>
        <v>380-415/3/50</v>
      </c>
      <c r="X33" s="2">
        <f>IF($H33="","",VLOOKUP($H33,Data!$C$6:$Y$29,16,FALSE))</f>
        <v>378</v>
      </c>
      <c r="Y33" s="2">
        <f>IF($H33="","",VLOOKUP($H33,Data!$C$6:$Y$29,17,FALSE))</f>
        <v>1569</v>
      </c>
      <c r="Z33" s="2">
        <f>IF($H33="","",VLOOKUP($H33,Data!$C$6:$Y$29,18,FALSE))</f>
        <v>541</v>
      </c>
      <c r="AA33" s="2">
        <f>IF($H33="","",VLOOKUP($H33,Data!$C$6:$Y$29,19,FALSE))</f>
        <v>852</v>
      </c>
      <c r="AB33" s="2">
        <f>IF($H33="","",VLOOKUP($H33,Data!$C$6:$Y$29,20,FALSE))</f>
        <v>1030</v>
      </c>
      <c r="AC33" s="2">
        <f>IF($H33="","",VLOOKUP($H33,Data!$C$6:$Y$29,21,FALSE))</f>
        <v>400</v>
      </c>
      <c r="AD33" s="2">
        <f>IF($H33="","",VLOOKUP($H33,Data!$C$6:$Y$29,22,FALSE))</f>
        <v>56</v>
      </c>
      <c r="AE33" s="3">
        <f>IF($H33="","",VLOOKUP($H33,Data!$C$6:$Y$29,23,FALSE))</f>
        <v>87</v>
      </c>
      <c r="AG33" s="76" t="str">
        <f>IF($E33="","",IF($C33="DUCTED",VLOOKUP($E33,'DX-Data'!$D$5:$J$11,7,TRUE),IF($C33="DECORATIVE",VLOOKUP($E33,'DX-Data'!$D$19:$J$23,7,TRUE),IF($C33="PACKAGED",VLOOKUP($E33,'DX-Data'!$D$24:$J$30,7,TRUE),IF($C33="DUCTED-INV",VLOOKUP($E33,'DX-Data'!$D$12:$J$18,7,TRUE),"CHOOSE AC TYPE")))))</f>
        <v>FDMRN50AVKU - RR50AYKU</v>
      </c>
      <c r="AH33" s="76" t="str">
        <f>IF($F$9=TRUE,IF($C33="DUCTED",VLOOKUP($F33,'DX-Data'!$F$5:$J$11,5,TRUE),IF($C33="DECORATIVE",VLOOKUP($F33,'DX-Data'!$F$19:$J$23,5,TRUE),IF($C33="PACKAGED",VLOOKUP($F33,'DX-Data'!$F$24:$J$30,5,TRUE),IF($C33="DUCTED-INV",VLOOKUP($F33,'DX-Data'!$F$12:$J$18,5,TRUE),"CHOOSE AC TYPE")))),"NO SELECTION")</f>
        <v>FDMRN36AVKU - RR36AVKU</v>
      </c>
      <c r="AI33" s="76" t="str">
        <f>IF($G$9=TRUE,IF($C33="DUCTED",VLOOKUP($G33,'DX-Data'!$H$5:$J$11,3,TRUE),IF($C33="DECORATIVE",VLOOKUP($G33,'DX-Data'!$H$19:$J$23,3,TRUE),IF($C33="PACKAGED",VLOOKUP($G33,'DX-Data'!$H$24:$J$30,3,TRUE),IF($C33="DUCTED-INV",VLOOKUP($G33,'DX-Data'!$H$12:$J$18,3,TRUE),"CHOOSE AC TYPE")))),"NO SELECTION")</f>
        <v>NO SELECTION</v>
      </c>
      <c r="AJ33" s="77">
        <f>IF($E33="","",IF($C33="DUCTED",VLOOKUP($E33,'DX-Data'!$D$5:$J$11,6,TRUE),IF($C33="DECORATIVE",VLOOKUP($E33,'DX-Data'!$D$19:$J$23,6,TRUE),IF($C33="PACKAGED",VLOOKUP($E33,'DX-Data'!$D$24:$J$30,6,TRUE),IF($C33="DUCTED-INV",VLOOKUP($E33,'DX-Data'!$D$12:$J$18,6,TRUE),0)))))</f>
        <v>5</v>
      </c>
      <c r="AK33" s="77">
        <f>IF($F$9=TRUE,IF($C33="DUCTED",VLOOKUP($F33,'DX-Data'!$F$5:$J$11,4,TRUE),IF($C33="DECORATIVE",VLOOKUP($F33,'DX-Data'!$F$19:$J$23,4,TRUE),IF($C33="PACKAGED",VLOOKUP($F33,'DX-Data'!$F$24:$J$30,4,TRUE),IF($C33="DUCTED-INV",VLOOKUP($F33,'DX-Data'!$F$12:$J$18,4,TRUE),"CHOOSE AC TYPE")))),0)</f>
        <v>4</v>
      </c>
      <c r="AL33" s="77">
        <f>IF($G$9=TRUE,IF($C33="DUCTED",VLOOKUP($G33,'DX-Data'!$H$5:$J$11,2,TRUE),IF($C33="DECORATIVE",VLOOKUP($G33,'DX-Data'!$H$19:$J$23,2,TRUE),IF($C33="PACKAGED",VLOOKUP($G33,'DX-Data'!$H$24:$J$30,2,TRUE),IF($C33="DUCTED-INV",VLOOKUP($G33,'DX-Data'!$H$12:$J$18,2,TRUE),"CHOOSE AC TYPE")))),0)</f>
        <v>0</v>
      </c>
      <c r="AM33" s="77">
        <f t="shared" si="5"/>
        <v>5</v>
      </c>
      <c r="AN33" s="76" t="str">
        <f>IF(E33="","",VLOOKUP($AM33,'DX-Data'!$I$5:$J$31,2,FALSE))</f>
        <v>FDMRN50AVKU - RR50AYKU</v>
      </c>
      <c r="AO33" s="77">
        <f t="shared" si="6"/>
        <v>1</v>
      </c>
    </row>
    <row r="34" spans="2:41" x14ac:dyDescent="0.3">
      <c r="B34" s="71" t="s">
        <v>115</v>
      </c>
      <c r="C34" s="26" t="s">
        <v>38</v>
      </c>
      <c r="D34" s="27" t="s">
        <v>196</v>
      </c>
      <c r="E34" s="26">
        <v>4.5</v>
      </c>
      <c r="F34" s="26">
        <v>3.8</v>
      </c>
      <c r="G34" s="82">
        <v>313</v>
      </c>
      <c r="H34" s="74" t="str">
        <f t="shared" si="7"/>
        <v>FDMRN25AVKU - RR25AVKU</v>
      </c>
      <c r="I34" s="2">
        <f t="shared" si="8"/>
        <v>1</v>
      </c>
      <c r="J34" s="21">
        <f>IF($H34="","",VLOOKUP($H34,Data!$C$6:$Y$29,2,FALSE))</f>
        <v>2</v>
      </c>
      <c r="K34" s="2" t="str">
        <f>IF($H34="","",VLOOKUP($H34,Data!$C$6:$Y$29,3,FALSE))</f>
        <v>Non-Inverter</v>
      </c>
      <c r="L34" s="2" t="str">
        <f>IF($H34="","",VLOOKUP($H34,Data!$C$6:$Y$29,4,FALSE))</f>
        <v>R-410A</v>
      </c>
      <c r="M34" s="2" t="str">
        <f>IF($H34="","",VLOOKUP($H34,Data!$C$6:$Y$29,5,FALSE))</f>
        <v>24/16</v>
      </c>
      <c r="N34" s="2">
        <f>IF($H34="","",VLOOKUP($H34,Data!$C$6:$Y$29,6,FALSE))</f>
        <v>46</v>
      </c>
      <c r="O34" s="2">
        <f>IF($H34="","",VLOOKUP($H34,Data!$C$6:$Y$29,7,FALSE))</f>
        <v>5.48</v>
      </c>
      <c r="P34" s="2">
        <f>IF($H34="","",VLOOKUP($H34,Data!$C$6:$Y$29,8,FALSE))</f>
        <v>5.05</v>
      </c>
      <c r="Q34" s="2">
        <f>IF($H34="","",VLOOKUP($H34,Data!$C$6:$Y$29,9,FALSE))</f>
        <v>303</v>
      </c>
      <c r="R34" s="2" t="str">
        <f>IF($H34="","",VLOOKUP($H34,Data!$C$6:$Y$29,10,FALSE))</f>
        <v>MEDIUM</v>
      </c>
      <c r="S34" s="2">
        <f>IF($H34="","",VLOOKUP($H34,Data!$C$6:$Y$29,11,FALSE))</f>
        <v>2.29</v>
      </c>
      <c r="T34" s="2">
        <f>IF($H34="","",VLOOKUP($H34,Data!$C$6:$Y$29,12,FALSE))</f>
        <v>2.35</v>
      </c>
      <c r="U34" s="2">
        <f>IF($H34="","",VLOOKUP($H34,Data!$C$6:$Y$29,13,FALSE))</f>
        <v>3.44</v>
      </c>
      <c r="V34" s="2">
        <f>IF($H34="","",VLOOKUP($H34,Data!$C$6:$Y$29,14,FALSE))</f>
        <v>40</v>
      </c>
      <c r="W34" s="2" t="str">
        <f>IF($H34="","",VLOOKUP($H34,Data!$C$6:$Y$29,15,FALSE))</f>
        <v>220-240/1/50</v>
      </c>
      <c r="X34" s="2">
        <f>IF($H34="","",VLOOKUP($H34,Data!$C$6:$Y$29,16,FALSE))</f>
        <v>378</v>
      </c>
      <c r="Y34" s="2">
        <f>IF($H34="","",VLOOKUP($H34,Data!$C$6:$Y$29,17,FALSE))</f>
        <v>1115</v>
      </c>
      <c r="Z34" s="2">
        <f>IF($H34="","",VLOOKUP($H34,Data!$C$6:$Y$29,18,FALSE))</f>
        <v>541</v>
      </c>
      <c r="AA34" s="2">
        <f>IF($H34="","",VLOOKUP($H34,Data!$C$6:$Y$29,19,FALSE))</f>
        <v>753</v>
      </c>
      <c r="AB34" s="2">
        <f>IF($H34="","",VLOOKUP($H34,Data!$C$6:$Y$29,20,FALSE))</f>
        <v>855</v>
      </c>
      <c r="AC34" s="2">
        <f>IF($H34="","",VLOOKUP($H34,Data!$C$6:$Y$29,21,FALSE))</f>
        <v>328</v>
      </c>
      <c r="AD34" s="2">
        <f>IF($H34="","",VLOOKUP($H34,Data!$C$6:$Y$29,22,FALSE))</f>
        <v>44</v>
      </c>
      <c r="AE34" s="3">
        <f>IF($H34="","",VLOOKUP($H34,Data!$C$6:$Y$29,23,FALSE))</f>
        <v>51</v>
      </c>
      <c r="AG34" s="76" t="str">
        <f>IF($E34="","",IF($C34="DUCTED",VLOOKUP($E34,'DX-Data'!$D$5:$J$11,7,TRUE),IF($C34="DECORATIVE",VLOOKUP($E34,'DX-Data'!$D$19:$J$23,7,TRUE),IF($C34="PACKAGED",VLOOKUP($E34,'DX-Data'!$D$24:$J$30,7,TRUE),IF($C34="DUCTED-INV",VLOOKUP($E34,'DX-Data'!$D$12:$J$18,7,TRUE),"CHOOSE AC TYPE")))))</f>
        <v>FDMRN25AVKU - RR25AVKU</v>
      </c>
      <c r="AH34" s="76" t="str">
        <f>IF($F$9=TRUE,IF($C34="DUCTED",VLOOKUP($F34,'DX-Data'!$F$5:$J$11,5,TRUE),IF($C34="DECORATIVE",VLOOKUP($F34,'DX-Data'!$F$19:$J$23,5,TRUE),IF($C34="PACKAGED",VLOOKUP($F34,'DX-Data'!$F$24:$J$30,5,TRUE),IF($C34="DUCTED-INV",VLOOKUP($F34,'DX-Data'!$F$12:$J$18,5,TRUE),"CHOOSE AC TYPE")))),"NO SELECTION")</f>
        <v>FDMRN20AVKU - RR20AVKU</v>
      </c>
      <c r="AI34" s="76" t="str">
        <f>IF($G$9=TRUE,IF($C34="DUCTED",VLOOKUP($G34,'DX-Data'!$H$5:$J$11,3,TRUE),IF($C34="DECORATIVE",VLOOKUP($G34,'DX-Data'!$H$19:$J$23,3,TRUE),IF($C34="PACKAGED",VLOOKUP($G34,'DX-Data'!$H$24:$J$30,3,TRUE),IF($C34="DUCTED-INV",VLOOKUP($G34,'DX-Data'!$H$12:$J$18,3,TRUE),"CHOOSE AC TYPE")))),"NO SELECTION")</f>
        <v>NO SELECTION</v>
      </c>
      <c r="AJ34" s="77">
        <f>IF($E34="","",IF($C34="DUCTED",VLOOKUP($E34,'DX-Data'!$D$5:$J$11,6,TRUE),IF($C34="DECORATIVE",VLOOKUP($E34,'DX-Data'!$D$19:$J$23,6,TRUE),IF($C34="PACKAGED",VLOOKUP($E34,'DX-Data'!$D$24:$J$30,6,TRUE),IF($C34="DUCTED-INV",VLOOKUP($E34,'DX-Data'!$D$12:$J$18,6,TRUE),0)))))</f>
        <v>2</v>
      </c>
      <c r="AK34" s="77">
        <f>IF($F$9=TRUE,IF($C34="DUCTED",VLOOKUP($F34,'DX-Data'!$F$5:$J$11,4,TRUE),IF($C34="DECORATIVE",VLOOKUP($F34,'DX-Data'!$F$19:$J$23,4,TRUE),IF($C34="PACKAGED",VLOOKUP($F34,'DX-Data'!$F$24:$J$30,4,TRUE),IF($C34="DUCTED-INV",VLOOKUP($F34,'DX-Data'!$F$12:$J$18,4,TRUE),"CHOOSE AC TYPE")))),0)</f>
        <v>1</v>
      </c>
      <c r="AL34" s="77">
        <f>IF($G$9=TRUE,IF($C34="DUCTED",VLOOKUP($G34,'DX-Data'!$H$5:$J$11,2,TRUE),IF($C34="DECORATIVE",VLOOKUP($G34,'DX-Data'!$H$19:$J$23,2,TRUE),IF($C34="PACKAGED",VLOOKUP($G34,'DX-Data'!$H$24:$J$30,2,TRUE),IF($C34="DUCTED-INV",VLOOKUP($G34,'DX-Data'!$H$12:$J$18,2,TRUE),"CHOOSE AC TYPE")))),0)</f>
        <v>0</v>
      </c>
      <c r="AM34" s="77">
        <f t="shared" si="5"/>
        <v>2</v>
      </c>
      <c r="AN34" s="76" t="str">
        <f>IF(E34="","",VLOOKUP($AM34,'DX-Data'!$I$5:$J$31,2,FALSE))</f>
        <v>FDMRN25AVKU - RR25AVKU</v>
      </c>
      <c r="AO34" s="77">
        <f t="shared" si="6"/>
        <v>1</v>
      </c>
    </row>
    <row r="35" spans="2:41" x14ac:dyDescent="0.3">
      <c r="B35" s="71" t="s">
        <v>116</v>
      </c>
      <c r="C35" s="26" t="s">
        <v>38</v>
      </c>
      <c r="D35" s="27" t="s">
        <v>197</v>
      </c>
      <c r="E35" s="26">
        <v>4.5</v>
      </c>
      <c r="F35" s="26">
        <v>3.8</v>
      </c>
      <c r="G35" s="82">
        <v>313</v>
      </c>
      <c r="H35" s="74" t="str">
        <f t="shared" si="7"/>
        <v>FDMRN25AVKU - RR25AVKU</v>
      </c>
      <c r="I35" s="2">
        <f t="shared" si="8"/>
        <v>1</v>
      </c>
      <c r="J35" s="21">
        <f>IF($H35="","",VLOOKUP($H35,Data!$C$6:$Y$29,2,FALSE))</f>
        <v>2</v>
      </c>
      <c r="K35" s="2" t="str">
        <f>IF($H35="","",VLOOKUP($H35,Data!$C$6:$Y$29,3,FALSE))</f>
        <v>Non-Inverter</v>
      </c>
      <c r="L35" s="2" t="str">
        <f>IF($H35="","",VLOOKUP($H35,Data!$C$6:$Y$29,4,FALSE))</f>
        <v>R-410A</v>
      </c>
      <c r="M35" s="2" t="str">
        <f>IF($H35="","",VLOOKUP($H35,Data!$C$6:$Y$29,5,FALSE))</f>
        <v>24/16</v>
      </c>
      <c r="N35" s="2">
        <f>IF($H35="","",VLOOKUP($H35,Data!$C$6:$Y$29,6,FALSE))</f>
        <v>46</v>
      </c>
      <c r="O35" s="2">
        <f>IF($H35="","",VLOOKUP($H35,Data!$C$6:$Y$29,7,FALSE))</f>
        <v>5.48</v>
      </c>
      <c r="P35" s="2">
        <f>IF($H35="","",VLOOKUP($H35,Data!$C$6:$Y$29,8,FALSE))</f>
        <v>5.05</v>
      </c>
      <c r="Q35" s="2">
        <f>IF($H35="","",VLOOKUP($H35,Data!$C$6:$Y$29,9,FALSE))</f>
        <v>303</v>
      </c>
      <c r="R35" s="2" t="str">
        <f>IF($H35="","",VLOOKUP($H35,Data!$C$6:$Y$29,10,FALSE))</f>
        <v>MEDIUM</v>
      </c>
      <c r="S35" s="2">
        <f>IF($H35="","",VLOOKUP($H35,Data!$C$6:$Y$29,11,FALSE))</f>
        <v>2.29</v>
      </c>
      <c r="T35" s="2">
        <f>IF($H35="","",VLOOKUP($H35,Data!$C$6:$Y$29,12,FALSE))</f>
        <v>2.35</v>
      </c>
      <c r="U35" s="2">
        <f>IF($H35="","",VLOOKUP($H35,Data!$C$6:$Y$29,13,FALSE))</f>
        <v>3.44</v>
      </c>
      <c r="V35" s="2">
        <f>IF($H35="","",VLOOKUP($H35,Data!$C$6:$Y$29,14,FALSE))</f>
        <v>40</v>
      </c>
      <c r="W35" s="2" t="str">
        <f>IF($H35="","",VLOOKUP($H35,Data!$C$6:$Y$29,15,FALSE))</f>
        <v>220-240/1/50</v>
      </c>
      <c r="X35" s="2">
        <f>IF($H35="","",VLOOKUP($H35,Data!$C$6:$Y$29,16,FALSE))</f>
        <v>378</v>
      </c>
      <c r="Y35" s="2">
        <f>IF($H35="","",VLOOKUP($H35,Data!$C$6:$Y$29,17,FALSE))</f>
        <v>1115</v>
      </c>
      <c r="Z35" s="2">
        <f>IF($H35="","",VLOOKUP($H35,Data!$C$6:$Y$29,18,FALSE))</f>
        <v>541</v>
      </c>
      <c r="AA35" s="2">
        <f>IF($H35="","",VLOOKUP($H35,Data!$C$6:$Y$29,19,FALSE))</f>
        <v>753</v>
      </c>
      <c r="AB35" s="2">
        <f>IF($H35="","",VLOOKUP($H35,Data!$C$6:$Y$29,20,FALSE))</f>
        <v>855</v>
      </c>
      <c r="AC35" s="2">
        <f>IF($H35="","",VLOOKUP($H35,Data!$C$6:$Y$29,21,FALSE))</f>
        <v>328</v>
      </c>
      <c r="AD35" s="2">
        <f>IF($H35="","",VLOOKUP($H35,Data!$C$6:$Y$29,22,FALSE))</f>
        <v>44</v>
      </c>
      <c r="AE35" s="3">
        <f>IF($H35="","",VLOOKUP($H35,Data!$C$6:$Y$29,23,FALSE))</f>
        <v>51</v>
      </c>
      <c r="AG35" s="76" t="str">
        <f>IF($E35="","",IF($C35="DUCTED",VLOOKUP($E35,'DX-Data'!$D$5:$J$11,7,TRUE),IF($C35="DECORATIVE",VLOOKUP($E35,'DX-Data'!$D$19:$J$23,7,TRUE),IF($C35="PACKAGED",VLOOKUP($E35,'DX-Data'!$D$24:$J$30,7,TRUE),IF($C35="DUCTED-INV",VLOOKUP($E35,'DX-Data'!$D$12:$J$18,7,TRUE),"CHOOSE AC TYPE")))))</f>
        <v>FDMRN25AVKU - RR25AVKU</v>
      </c>
      <c r="AH35" s="76" t="str">
        <f>IF($F$9=TRUE,IF($C35="DUCTED",VLOOKUP($F35,'DX-Data'!$F$5:$J$11,5,TRUE),IF($C35="DECORATIVE",VLOOKUP($F35,'DX-Data'!$F$19:$J$23,5,TRUE),IF($C35="PACKAGED",VLOOKUP($F35,'DX-Data'!$F$24:$J$30,5,TRUE),IF($C35="DUCTED-INV",VLOOKUP($F35,'DX-Data'!$F$12:$J$18,5,TRUE),"CHOOSE AC TYPE")))),"NO SELECTION")</f>
        <v>FDMRN20AVKU - RR20AVKU</v>
      </c>
      <c r="AI35" s="76" t="str">
        <f>IF($G$9=TRUE,IF($C35="DUCTED",VLOOKUP($G35,'DX-Data'!$H$5:$J$11,3,TRUE),IF($C35="DECORATIVE",VLOOKUP($G35,'DX-Data'!$H$19:$J$23,3,TRUE),IF($C35="PACKAGED",VLOOKUP($G35,'DX-Data'!$H$24:$J$30,3,TRUE),IF($C35="DUCTED-INV",VLOOKUP($G35,'DX-Data'!$H$12:$J$18,3,TRUE),"CHOOSE AC TYPE")))),"NO SELECTION")</f>
        <v>NO SELECTION</v>
      </c>
      <c r="AJ35" s="77">
        <f>IF($E35="","",IF($C35="DUCTED",VLOOKUP($E35,'DX-Data'!$D$5:$J$11,6,TRUE),IF($C35="DECORATIVE",VLOOKUP($E35,'DX-Data'!$D$19:$J$23,6,TRUE),IF($C35="PACKAGED",VLOOKUP($E35,'DX-Data'!$D$24:$J$30,6,TRUE),IF($C35="DUCTED-INV",VLOOKUP($E35,'DX-Data'!$D$12:$J$18,6,TRUE),0)))))</f>
        <v>2</v>
      </c>
      <c r="AK35" s="77">
        <f>IF($F$9=TRUE,IF($C35="DUCTED",VLOOKUP($F35,'DX-Data'!$F$5:$J$11,4,TRUE),IF($C35="DECORATIVE",VLOOKUP($F35,'DX-Data'!$F$19:$J$23,4,TRUE),IF($C35="PACKAGED",VLOOKUP($F35,'DX-Data'!$F$24:$J$30,4,TRUE),IF($C35="DUCTED-INV",VLOOKUP($F35,'DX-Data'!$F$12:$J$18,4,TRUE),"CHOOSE AC TYPE")))),0)</f>
        <v>1</v>
      </c>
      <c r="AL35" s="77">
        <f>IF($G$9=TRUE,IF($C35="DUCTED",VLOOKUP($G35,'DX-Data'!$H$5:$J$11,2,TRUE),IF($C35="DECORATIVE",VLOOKUP($G35,'DX-Data'!$H$19:$J$23,2,TRUE),IF($C35="PACKAGED",VLOOKUP($G35,'DX-Data'!$H$24:$J$30,2,TRUE),IF($C35="DUCTED-INV",VLOOKUP($G35,'DX-Data'!$H$12:$J$18,2,TRUE),"CHOOSE AC TYPE")))),0)</f>
        <v>0</v>
      </c>
      <c r="AM35" s="77">
        <f t="shared" si="5"/>
        <v>2</v>
      </c>
      <c r="AN35" s="76" t="str">
        <f>IF(E35="","",VLOOKUP($AM35,'DX-Data'!$I$5:$J$31,2,FALSE))</f>
        <v>FDMRN25AVKU - RR25AVKU</v>
      </c>
      <c r="AO35" s="77">
        <f t="shared" si="6"/>
        <v>1</v>
      </c>
    </row>
    <row r="36" spans="2:41" x14ac:dyDescent="0.3">
      <c r="B36" s="71" t="s">
        <v>117</v>
      </c>
      <c r="C36" s="26" t="s">
        <v>38</v>
      </c>
      <c r="D36" s="27" t="s">
        <v>198</v>
      </c>
      <c r="E36" s="26">
        <v>4.5</v>
      </c>
      <c r="F36" s="26">
        <v>3.8</v>
      </c>
      <c r="G36" s="82">
        <v>313</v>
      </c>
      <c r="H36" s="74" t="str">
        <f t="shared" si="7"/>
        <v>FDMRN25AVKU - RR25AVKU</v>
      </c>
      <c r="I36" s="2">
        <f t="shared" si="8"/>
        <v>1</v>
      </c>
      <c r="J36" s="21">
        <f>IF($H36="","",VLOOKUP($H36,Data!$C$6:$Y$29,2,FALSE))</f>
        <v>2</v>
      </c>
      <c r="K36" s="2" t="str">
        <f>IF($H36="","",VLOOKUP($H36,Data!$C$6:$Y$29,3,FALSE))</f>
        <v>Non-Inverter</v>
      </c>
      <c r="L36" s="2" t="str">
        <f>IF($H36="","",VLOOKUP($H36,Data!$C$6:$Y$29,4,FALSE))</f>
        <v>R-410A</v>
      </c>
      <c r="M36" s="2" t="str">
        <f>IF($H36="","",VLOOKUP($H36,Data!$C$6:$Y$29,5,FALSE))</f>
        <v>24/16</v>
      </c>
      <c r="N36" s="2">
        <f>IF($H36="","",VLOOKUP($H36,Data!$C$6:$Y$29,6,FALSE))</f>
        <v>46</v>
      </c>
      <c r="O36" s="2">
        <f>IF($H36="","",VLOOKUP($H36,Data!$C$6:$Y$29,7,FALSE))</f>
        <v>5.48</v>
      </c>
      <c r="P36" s="2">
        <f>IF($H36="","",VLOOKUP($H36,Data!$C$6:$Y$29,8,FALSE))</f>
        <v>5.05</v>
      </c>
      <c r="Q36" s="2">
        <f>IF($H36="","",VLOOKUP($H36,Data!$C$6:$Y$29,9,FALSE))</f>
        <v>303</v>
      </c>
      <c r="R36" s="2" t="str">
        <f>IF($H36="","",VLOOKUP($H36,Data!$C$6:$Y$29,10,FALSE))</f>
        <v>MEDIUM</v>
      </c>
      <c r="S36" s="2">
        <f>IF($H36="","",VLOOKUP($H36,Data!$C$6:$Y$29,11,FALSE))</f>
        <v>2.29</v>
      </c>
      <c r="T36" s="2">
        <f>IF($H36="","",VLOOKUP($H36,Data!$C$6:$Y$29,12,FALSE))</f>
        <v>2.35</v>
      </c>
      <c r="U36" s="2">
        <f>IF($H36="","",VLOOKUP($H36,Data!$C$6:$Y$29,13,FALSE))</f>
        <v>3.44</v>
      </c>
      <c r="V36" s="2">
        <f>IF($H36="","",VLOOKUP($H36,Data!$C$6:$Y$29,14,FALSE))</f>
        <v>40</v>
      </c>
      <c r="W36" s="2" t="str">
        <f>IF($H36="","",VLOOKUP($H36,Data!$C$6:$Y$29,15,FALSE))</f>
        <v>220-240/1/50</v>
      </c>
      <c r="X36" s="2">
        <f>IF($H36="","",VLOOKUP($H36,Data!$C$6:$Y$29,16,FALSE))</f>
        <v>378</v>
      </c>
      <c r="Y36" s="2">
        <f>IF($H36="","",VLOOKUP($H36,Data!$C$6:$Y$29,17,FALSE))</f>
        <v>1115</v>
      </c>
      <c r="Z36" s="2">
        <f>IF($H36="","",VLOOKUP($H36,Data!$C$6:$Y$29,18,FALSE))</f>
        <v>541</v>
      </c>
      <c r="AA36" s="2">
        <f>IF($H36="","",VLOOKUP($H36,Data!$C$6:$Y$29,19,FALSE))</f>
        <v>753</v>
      </c>
      <c r="AB36" s="2">
        <f>IF($H36="","",VLOOKUP($H36,Data!$C$6:$Y$29,20,FALSE))</f>
        <v>855</v>
      </c>
      <c r="AC36" s="2">
        <f>IF($H36="","",VLOOKUP($H36,Data!$C$6:$Y$29,21,FALSE))</f>
        <v>328</v>
      </c>
      <c r="AD36" s="2">
        <f>IF($H36="","",VLOOKUP($H36,Data!$C$6:$Y$29,22,FALSE))</f>
        <v>44</v>
      </c>
      <c r="AE36" s="3">
        <f>IF($H36="","",VLOOKUP($H36,Data!$C$6:$Y$29,23,FALSE))</f>
        <v>51</v>
      </c>
      <c r="AG36" s="76" t="str">
        <f>IF($E36="","",IF($C36="DUCTED",VLOOKUP($E36,'DX-Data'!$D$5:$J$11,7,TRUE),IF($C36="DECORATIVE",VLOOKUP($E36,'DX-Data'!$D$19:$J$23,7,TRUE),IF($C36="PACKAGED",VLOOKUP($E36,'DX-Data'!$D$24:$J$30,7,TRUE),IF($C36="DUCTED-INV",VLOOKUP($E36,'DX-Data'!$D$12:$J$18,7,TRUE),"CHOOSE AC TYPE")))))</f>
        <v>FDMRN25AVKU - RR25AVKU</v>
      </c>
      <c r="AH36" s="76" t="str">
        <f>IF($F$9=TRUE,IF($C36="DUCTED",VLOOKUP($F36,'DX-Data'!$F$5:$J$11,5,TRUE),IF($C36="DECORATIVE",VLOOKUP($F36,'DX-Data'!$F$19:$J$23,5,TRUE),IF($C36="PACKAGED",VLOOKUP($F36,'DX-Data'!$F$24:$J$30,5,TRUE),IF($C36="DUCTED-INV",VLOOKUP($F36,'DX-Data'!$F$12:$J$18,5,TRUE),"CHOOSE AC TYPE")))),"NO SELECTION")</f>
        <v>FDMRN20AVKU - RR20AVKU</v>
      </c>
      <c r="AI36" s="76" t="str">
        <f>IF($G$9=TRUE,IF($C36="DUCTED",VLOOKUP($G36,'DX-Data'!$H$5:$J$11,3,TRUE),IF($C36="DECORATIVE",VLOOKUP($G36,'DX-Data'!$H$19:$J$23,3,TRUE),IF($C36="PACKAGED",VLOOKUP($G36,'DX-Data'!$H$24:$J$30,3,TRUE),IF($C36="DUCTED-INV",VLOOKUP($G36,'DX-Data'!$H$12:$J$18,3,TRUE),"CHOOSE AC TYPE")))),"NO SELECTION")</f>
        <v>NO SELECTION</v>
      </c>
      <c r="AJ36" s="77">
        <f>IF($E36="","",IF($C36="DUCTED",VLOOKUP($E36,'DX-Data'!$D$5:$J$11,6,TRUE),IF($C36="DECORATIVE",VLOOKUP($E36,'DX-Data'!$D$19:$J$23,6,TRUE),IF($C36="PACKAGED",VLOOKUP($E36,'DX-Data'!$D$24:$J$30,6,TRUE),IF($C36="DUCTED-INV",VLOOKUP($E36,'DX-Data'!$D$12:$J$18,6,TRUE),0)))))</f>
        <v>2</v>
      </c>
      <c r="AK36" s="77">
        <f>IF($F$9=TRUE,IF($C36="DUCTED",VLOOKUP($F36,'DX-Data'!$F$5:$J$11,4,TRUE),IF($C36="DECORATIVE",VLOOKUP($F36,'DX-Data'!$F$19:$J$23,4,TRUE),IF($C36="PACKAGED",VLOOKUP($F36,'DX-Data'!$F$24:$J$30,4,TRUE),IF($C36="DUCTED-INV",VLOOKUP($F36,'DX-Data'!$F$12:$J$18,4,TRUE),"CHOOSE AC TYPE")))),0)</f>
        <v>1</v>
      </c>
      <c r="AL36" s="77">
        <f>IF($G$9=TRUE,IF($C36="DUCTED",VLOOKUP($G36,'DX-Data'!$H$5:$J$11,2,TRUE),IF($C36="DECORATIVE",VLOOKUP($G36,'DX-Data'!$H$19:$J$23,2,TRUE),IF($C36="PACKAGED",VLOOKUP($G36,'DX-Data'!$H$24:$J$30,2,TRUE),IF($C36="DUCTED-INV",VLOOKUP($G36,'DX-Data'!$H$12:$J$18,2,TRUE),"CHOOSE AC TYPE")))),0)</f>
        <v>0</v>
      </c>
      <c r="AM36" s="77">
        <f t="shared" si="5"/>
        <v>2</v>
      </c>
      <c r="AN36" s="76" t="str">
        <f>IF(E36="","",VLOOKUP($AM36,'DX-Data'!$I$5:$J$31,2,FALSE))</f>
        <v>FDMRN25AVKU - RR25AVKU</v>
      </c>
      <c r="AO36" s="77">
        <f t="shared" si="6"/>
        <v>1</v>
      </c>
    </row>
    <row r="37" spans="2:41" x14ac:dyDescent="0.3">
      <c r="B37" s="71" t="s">
        <v>118</v>
      </c>
      <c r="C37" s="26" t="s">
        <v>38</v>
      </c>
      <c r="D37" s="27" t="s">
        <v>199</v>
      </c>
      <c r="E37" s="26">
        <v>4.5</v>
      </c>
      <c r="F37" s="26">
        <v>3.8</v>
      </c>
      <c r="G37" s="82">
        <v>313</v>
      </c>
      <c r="H37" s="74" t="str">
        <f t="shared" si="7"/>
        <v>FDMRN25AVKU - RR25AVKU</v>
      </c>
      <c r="I37" s="2">
        <f t="shared" si="8"/>
        <v>1</v>
      </c>
      <c r="J37" s="21">
        <f>IF($H37="","",VLOOKUP($H37,Data!$C$6:$Y$29,2,FALSE))</f>
        <v>2</v>
      </c>
      <c r="K37" s="2" t="str">
        <f>IF($H37="","",VLOOKUP($H37,Data!$C$6:$Y$29,3,FALSE))</f>
        <v>Non-Inverter</v>
      </c>
      <c r="L37" s="2" t="str">
        <f>IF($H37="","",VLOOKUP($H37,Data!$C$6:$Y$29,4,FALSE))</f>
        <v>R-410A</v>
      </c>
      <c r="M37" s="2" t="str">
        <f>IF($H37="","",VLOOKUP($H37,Data!$C$6:$Y$29,5,FALSE))</f>
        <v>24/16</v>
      </c>
      <c r="N37" s="2">
        <f>IF($H37="","",VLOOKUP($H37,Data!$C$6:$Y$29,6,FALSE))</f>
        <v>46</v>
      </c>
      <c r="O37" s="2">
        <f>IF($H37="","",VLOOKUP($H37,Data!$C$6:$Y$29,7,FALSE))</f>
        <v>5.48</v>
      </c>
      <c r="P37" s="2">
        <f>IF($H37="","",VLOOKUP($H37,Data!$C$6:$Y$29,8,FALSE))</f>
        <v>5.05</v>
      </c>
      <c r="Q37" s="2">
        <f>IF($H37="","",VLOOKUP($H37,Data!$C$6:$Y$29,9,FALSE))</f>
        <v>303</v>
      </c>
      <c r="R37" s="2" t="str">
        <f>IF($H37="","",VLOOKUP($H37,Data!$C$6:$Y$29,10,FALSE))</f>
        <v>MEDIUM</v>
      </c>
      <c r="S37" s="2">
        <f>IF($H37="","",VLOOKUP($H37,Data!$C$6:$Y$29,11,FALSE))</f>
        <v>2.29</v>
      </c>
      <c r="T37" s="2">
        <f>IF($H37="","",VLOOKUP($H37,Data!$C$6:$Y$29,12,FALSE))</f>
        <v>2.35</v>
      </c>
      <c r="U37" s="2">
        <f>IF($H37="","",VLOOKUP($H37,Data!$C$6:$Y$29,13,FALSE))</f>
        <v>3.44</v>
      </c>
      <c r="V37" s="2">
        <f>IF($H37="","",VLOOKUP($H37,Data!$C$6:$Y$29,14,FALSE))</f>
        <v>40</v>
      </c>
      <c r="W37" s="2" t="str">
        <f>IF($H37="","",VLOOKUP($H37,Data!$C$6:$Y$29,15,FALSE))</f>
        <v>220-240/1/50</v>
      </c>
      <c r="X37" s="2">
        <f>IF($H37="","",VLOOKUP($H37,Data!$C$6:$Y$29,16,FALSE))</f>
        <v>378</v>
      </c>
      <c r="Y37" s="2">
        <f>IF($H37="","",VLOOKUP($H37,Data!$C$6:$Y$29,17,FALSE))</f>
        <v>1115</v>
      </c>
      <c r="Z37" s="2">
        <f>IF($H37="","",VLOOKUP($H37,Data!$C$6:$Y$29,18,FALSE))</f>
        <v>541</v>
      </c>
      <c r="AA37" s="2">
        <f>IF($H37="","",VLOOKUP($H37,Data!$C$6:$Y$29,19,FALSE))</f>
        <v>753</v>
      </c>
      <c r="AB37" s="2">
        <f>IF($H37="","",VLOOKUP($H37,Data!$C$6:$Y$29,20,FALSE))</f>
        <v>855</v>
      </c>
      <c r="AC37" s="2">
        <f>IF($H37="","",VLOOKUP($H37,Data!$C$6:$Y$29,21,FALSE))</f>
        <v>328</v>
      </c>
      <c r="AD37" s="2">
        <f>IF($H37="","",VLOOKUP($H37,Data!$C$6:$Y$29,22,FALSE))</f>
        <v>44</v>
      </c>
      <c r="AE37" s="3">
        <f>IF($H37="","",VLOOKUP($H37,Data!$C$6:$Y$29,23,FALSE))</f>
        <v>51</v>
      </c>
      <c r="AG37" s="76" t="str">
        <f>IF($E37="","",IF($C37="DUCTED",VLOOKUP($E37,'DX-Data'!$D$5:$J$11,7,TRUE),IF($C37="DECORATIVE",VLOOKUP($E37,'DX-Data'!$D$19:$J$23,7,TRUE),IF($C37="PACKAGED",VLOOKUP($E37,'DX-Data'!$D$24:$J$30,7,TRUE),IF($C37="DUCTED-INV",VLOOKUP($E37,'DX-Data'!$D$12:$J$18,7,TRUE),"CHOOSE AC TYPE")))))</f>
        <v>FDMRN25AVKU - RR25AVKU</v>
      </c>
      <c r="AH37" s="76" t="str">
        <f>IF($F$9=TRUE,IF($C37="DUCTED",VLOOKUP($F37,'DX-Data'!$F$5:$J$11,5,TRUE),IF($C37="DECORATIVE",VLOOKUP($F37,'DX-Data'!$F$19:$J$23,5,TRUE),IF($C37="PACKAGED",VLOOKUP($F37,'DX-Data'!$F$24:$J$30,5,TRUE),IF($C37="DUCTED-INV",VLOOKUP($F37,'DX-Data'!$F$12:$J$18,5,TRUE),"CHOOSE AC TYPE")))),"NO SELECTION")</f>
        <v>FDMRN20AVKU - RR20AVKU</v>
      </c>
      <c r="AI37" s="76" t="str">
        <f>IF($G$9=TRUE,IF($C37="DUCTED",VLOOKUP($G37,'DX-Data'!$H$5:$J$11,3,TRUE),IF($C37="DECORATIVE",VLOOKUP($G37,'DX-Data'!$H$19:$J$23,3,TRUE),IF($C37="PACKAGED",VLOOKUP($G37,'DX-Data'!$H$24:$J$30,3,TRUE),IF($C37="DUCTED-INV",VLOOKUP($G37,'DX-Data'!$H$12:$J$18,3,TRUE),"CHOOSE AC TYPE")))),"NO SELECTION")</f>
        <v>NO SELECTION</v>
      </c>
      <c r="AJ37" s="77">
        <f>IF($E37="","",IF($C37="DUCTED",VLOOKUP($E37,'DX-Data'!$D$5:$J$11,6,TRUE),IF($C37="DECORATIVE",VLOOKUP($E37,'DX-Data'!$D$19:$J$23,6,TRUE),IF($C37="PACKAGED",VLOOKUP($E37,'DX-Data'!$D$24:$J$30,6,TRUE),IF($C37="DUCTED-INV",VLOOKUP($E37,'DX-Data'!$D$12:$J$18,6,TRUE),0)))))</f>
        <v>2</v>
      </c>
      <c r="AK37" s="77">
        <f>IF($F$9=TRUE,IF($C37="DUCTED",VLOOKUP($F37,'DX-Data'!$F$5:$J$11,4,TRUE),IF($C37="DECORATIVE",VLOOKUP($F37,'DX-Data'!$F$19:$J$23,4,TRUE),IF($C37="PACKAGED",VLOOKUP($F37,'DX-Data'!$F$24:$J$30,4,TRUE),IF($C37="DUCTED-INV",VLOOKUP($F37,'DX-Data'!$F$12:$J$18,4,TRUE),"CHOOSE AC TYPE")))),0)</f>
        <v>1</v>
      </c>
      <c r="AL37" s="77">
        <f>IF($G$9=TRUE,IF($C37="DUCTED",VLOOKUP($G37,'DX-Data'!$H$5:$J$11,2,TRUE),IF($C37="DECORATIVE",VLOOKUP($G37,'DX-Data'!$H$19:$J$23,2,TRUE),IF($C37="PACKAGED",VLOOKUP($G37,'DX-Data'!$H$24:$J$30,2,TRUE),IF($C37="DUCTED-INV",VLOOKUP($G37,'DX-Data'!$H$12:$J$18,2,TRUE),"CHOOSE AC TYPE")))),0)</f>
        <v>0</v>
      </c>
      <c r="AM37" s="77">
        <f t="shared" si="5"/>
        <v>2</v>
      </c>
      <c r="AN37" s="76" t="str">
        <f>IF(E37="","",VLOOKUP($AM37,'DX-Data'!$I$5:$J$31,2,FALSE))</f>
        <v>FDMRN25AVKU - RR25AVKU</v>
      </c>
      <c r="AO37" s="77">
        <f t="shared" si="6"/>
        <v>1</v>
      </c>
    </row>
    <row r="38" spans="2:41" x14ac:dyDescent="0.3">
      <c r="B38" s="71" t="s">
        <v>119</v>
      </c>
      <c r="C38" s="26" t="s">
        <v>38</v>
      </c>
      <c r="D38" s="27" t="s">
        <v>200</v>
      </c>
      <c r="E38" s="26">
        <v>4.5</v>
      </c>
      <c r="F38" s="26">
        <v>3.8</v>
      </c>
      <c r="G38" s="82">
        <v>313</v>
      </c>
      <c r="H38" s="74" t="str">
        <f t="shared" si="7"/>
        <v>FDMRN25AVKU - RR25AVKU</v>
      </c>
      <c r="I38" s="2">
        <f t="shared" si="8"/>
        <v>1</v>
      </c>
      <c r="J38" s="21">
        <f>IF($H38="","",VLOOKUP($H38,Data!$C$6:$Y$29,2,FALSE))</f>
        <v>2</v>
      </c>
      <c r="K38" s="2" t="str">
        <f>IF($H38="","",VLOOKUP($H38,Data!$C$6:$Y$29,3,FALSE))</f>
        <v>Non-Inverter</v>
      </c>
      <c r="L38" s="2" t="str">
        <f>IF($H38="","",VLOOKUP($H38,Data!$C$6:$Y$29,4,FALSE))</f>
        <v>R-410A</v>
      </c>
      <c r="M38" s="2" t="str">
        <f>IF($H38="","",VLOOKUP($H38,Data!$C$6:$Y$29,5,FALSE))</f>
        <v>24/16</v>
      </c>
      <c r="N38" s="2">
        <f>IF($H38="","",VLOOKUP($H38,Data!$C$6:$Y$29,6,FALSE))</f>
        <v>46</v>
      </c>
      <c r="O38" s="2">
        <f>IF($H38="","",VLOOKUP($H38,Data!$C$6:$Y$29,7,FALSE))</f>
        <v>5.48</v>
      </c>
      <c r="P38" s="2">
        <f>IF($H38="","",VLOOKUP($H38,Data!$C$6:$Y$29,8,FALSE))</f>
        <v>5.05</v>
      </c>
      <c r="Q38" s="2">
        <f>IF($H38="","",VLOOKUP($H38,Data!$C$6:$Y$29,9,FALSE))</f>
        <v>303</v>
      </c>
      <c r="R38" s="2" t="str">
        <f>IF($H38="","",VLOOKUP($H38,Data!$C$6:$Y$29,10,FALSE))</f>
        <v>MEDIUM</v>
      </c>
      <c r="S38" s="2">
        <f>IF($H38="","",VLOOKUP($H38,Data!$C$6:$Y$29,11,FALSE))</f>
        <v>2.29</v>
      </c>
      <c r="T38" s="2">
        <f>IF($H38="","",VLOOKUP($H38,Data!$C$6:$Y$29,12,FALSE))</f>
        <v>2.35</v>
      </c>
      <c r="U38" s="2">
        <f>IF($H38="","",VLOOKUP($H38,Data!$C$6:$Y$29,13,FALSE))</f>
        <v>3.44</v>
      </c>
      <c r="V38" s="2">
        <f>IF($H38="","",VLOOKUP($H38,Data!$C$6:$Y$29,14,FALSE))</f>
        <v>40</v>
      </c>
      <c r="W38" s="2" t="str">
        <f>IF($H38="","",VLOOKUP($H38,Data!$C$6:$Y$29,15,FALSE))</f>
        <v>220-240/1/50</v>
      </c>
      <c r="X38" s="2">
        <f>IF($H38="","",VLOOKUP($H38,Data!$C$6:$Y$29,16,FALSE))</f>
        <v>378</v>
      </c>
      <c r="Y38" s="2">
        <f>IF($H38="","",VLOOKUP($H38,Data!$C$6:$Y$29,17,FALSE))</f>
        <v>1115</v>
      </c>
      <c r="Z38" s="2">
        <f>IF($H38="","",VLOOKUP($H38,Data!$C$6:$Y$29,18,FALSE))</f>
        <v>541</v>
      </c>
      <c r="AA38" s="2">
        <f>IF($H38="","",VLOOKUP($H38,Data!$C$6:$Y$29,19,FALSE))</f>
        <v>753</v>
      </c>
      <c r="AB38" s="2">
        <f>IF($H38="","",VLOOKUP($H38,Data!$C$6:$Y$29,20,FALSE))</f>
        <v>855</v>
      </c>
      <c r="AC38" s="2">
        <f>IF($H38="","",VLOOKUP($H38,Data!$C$6:$Y$29,21,FALSE))</f>
        <v>328</v>
      </c>
      <c r="AD38" s="2">
        <f>IF($H38="","",VLOOKUP($H38,Data!$C$6:$Y$29,22,FALSE))</f>
        <v>44</v>
      </c>
      <c r="AE38" s="3">
        <f>IF($H38="","",VLOOKUP($H38,Data!$C$6:$Y$29,23,FALSE))</f>
        <v>51</v>
      </c>
      <c r="AG38" s="76" t="str">
        <f>IF($E38="","",IF($C38="DUCTED",VLOOKUP($E38,'DX-Data'!$D$5:$J$11,7,TRUE),IF($C38="DECORATIVE",VLOOKUP($E38,'DX-Data'!$D$19:$J$23,7,TRUE),IF($C38="PACKAGED",VLOOKUP($E38,'DX-Data'!$D$24:$J$30,7,TRUE),IF($C38="DUCTED-INV",VLOOKUP($E38,'DX-Data'!$D$12:$J$18,7,TRUE),"CHOOSE AC TYPE")))))</f>
        <v>FDMRN25AVKU - RR25AVKU</v>
      </c>
      <c r="AH38" s="76" t="str">
        <f>IF($F$9=TRUE,IF($C38="DUCTED",VLOOKUP($F38,'DX-Data'!$F$5:$J$11,5,TRUE),IF($C38="DECORATIVE",VLOOKUP($F38,'DX-Data'!$F$19:$J$23,5,TRUE),IF($C38="PACKAGED",VLOOKUP($F38,'DX-Data'!$F$24:$J$30,5,TRUE),IF($C38="DUCTED-INV",VLOOKUP($F38,'DX-Data'!$F$12:$J$18,5,TRUE),"CHOOSE AC TYPE")))),"NO SELECTION")</f>
        <v>FDMRN20AVKU - RR20AVKU</v>
      </c>
      <c r="AI38" s="76" t="str">
        <f>IF($G$9=TRUE,IF($C38="DUCTED",VLOOKUP($G38,'DX-Data'!$H$5:$J$11,3,TRUE),IF($C38="DECORATIVE",VLOOKUP($G38,'DX-Data'!$H$19:$J$23,3,TRUE),IF($C38="PACKAGED",VLOOKUP($G38,'DX-Data'!$H$24:$J$30,3,TRUE),IF($C38="DUCTED-INV",VLOOKUP($G38,'DX-Data'!$H$12:$J$18,3,TRUE),"CHOOSE AC TYPE")))),"NO SELECTION")</f>
        <v>NO SELECTION</v>
      </c>
      <c r="AJ38" s="77">
        <f>IF($E38="","",IF($C38="DUCTED",VLOOKUP($E38,'DX-Data'!$D$5:$J$11,6,TRUE),IF($C38="DECORATIVE",VLOOKUP($E38,'DX-Data'!$D$19:$J$23,6,TRUE),IF($C38="PACKAGED",VLOOKUP($E38,'DX-Data'!$D$24:$J$30,6,TRUE),IF($C38="DUCTED-INV",VLOOKUP($E38,'DX-Data'!$D$12:$J$18,6,TRUE),0)))))</f>
        <v>2</v>
      </c>
      <c r="AK38" s="77">
        <f>IF($F$9=TRUE,IF($C38="DUCTED",VLOOKUP($F38,'DX-Data'!$F$5:$J$11,4,TRUE),IF($C38="DECORATIVE",VLOOKUP($F38,'DX-Data'!$F$19:$J$23,4,TRUE),IF($C38="PACKAGED",VLOOKUP($F38,'DX-Data'!$F$24:$J$30,4,TRUE),IF($C38="DUCTED-INV",VLOOKUP($F38,'DX-Data'!$F$12:$J$18,4,TRUE),"CHOOSE AC TYPE")))),0)</f>
        <v>1</v>
      </c>
      <c r="AL38" s="77">
        <f>IF($G$9=TRUE,IF($C38="DUCTED",VLOOKUP($G38,'DX-Data'!$H$5:$J$11,2,TRUE),IF($C38="DECORATIVE",VLOOKUP($G38,'DX-Data'!$H$19:$J$23,2,TRUE),IF($C38="PACKAGED",VLOOKUP($G38,'DX-Data'!$H$24:$J$30,2,TRUE),IF($C38="DUCTED-INV",VLOOKUP($G38,'DX-Data'!$H$12:$J$18,2,TRUE),"CHOOSE AC TYPE")))),0)</f>
        <v>0</v>
      </c>
      <c r="AM38" s="77">
        <f t="shared" si="5"/>
        <v>2</v>
      </c>
      <c r="AN38" s="76" t="str">
        <f>IF(E38="","",VLOOKUP($AM38,'DX-Data'!$I$5:$J$31,2,FALSE))</f>
        <v>FDMRN25AVKU - RR25AVKU</v>
      </c>
      <c r="AO38" s="77">
        <f t="shared" si="6"/>
        <v>1</v>
      </c>
    </row>
    <row r="39" spans="2:41" x14ac:dyDescent="0.3">
      <c r="B39" s="71" t="s">
        <v>120</v>
      </c>
      <c r="C39" s="26" t="s">
        <v>38</v>
      </c>
      <c r="D39" s="27" t="s">
        <v>201</v>
      </c>
      <c r="E39" s="26">
        <v>9.6999999999999993</v>
      </c>
      <c r="F39" s="26">
        <v>8.3000000000000007</v>
      </c>
      <c r="G39" s="82">
        <v>688</v>
      </c>
      <c r="H39" s="74" t="str">
        <f t="shared" si="7"/>
        <v>FDMRN50AVKU - RR50AYKU</v>
      </c>
      <c r="I39" s="2">
        <f t="shared" si="8"/>
        <v>1</v>
      </c>
      <c r="J39" s="21">
        <f>IF($H39="","",VLOOKUP($H39,Data!$C$6:$Y$29,2,FALSE))</f>
        <v>4</v>
      </c>
      <c r="K39" s="2" t="str">
        <f>IF($H39="","",VLOOKUP($H39,Data!$C$6:$Y$29,3,FALSE))</f>
        <v>Non-Inverter</v>
      </c>
      <c r="L39" s="2" t="str">
        <f>IF($H39="","",VLOOKUP($H39,Data!$C$6:$Y$29,4,FALSE))</f>
        <v>R-410A</v>
      </c>
      <c r="M39" s="2" t="str">
        <f>IF($H39="","",VLOOKUP($H39,Data!$C$6:$Y$29,5,FALSE))</f>
        <v>24/16</v>
      </c>
      <c r="N39" s="2">
        <f>IF($H39="","",VLOOKUP($H39,Data!$C$6:$Y$29,6,FALSE))</f>
        <v>46</v>
      </c>
      <c r="O39" s="2">
        <f>IF($H39="","",VLOOKUP($H39,Data!$C$6:$Y$29,7,FALSE))</f>
        <v>11.46</v>
      </c>
      <c r="P39" s="2">
        <f>IF($H39="","",VLOOKUP($H39,Data!$C$6:$Y$29,8,FALSE))</f>
        <v>9.9600000000000009</v>
      </c>
      <c r="Q39" s="2">
        <f>IF($H39="","",VLOOKUP($H39,Data!$C$6:$Y$29,9,FALSE))</f>
        <v>686</v>
      </c>
      <c r="R39" s="2" t="str">
        <f>IF($H39="","",VLOOKUP($H39,Data!$C$6:$Y$29,10,FALSE))</f>
        <v>MEDIUM</v>
      </c>
      <c r="S39" s="2">
        <f>IF($H39="","",VLOOKUP($H39,Data!$C$6:$Y$29,11,FALSE))</f>
        <v>4.7</v>
      </c>
      <c r="T39" s="2">
        <f>IF($H39="","",VLOOKUP($H39,Data!$C$6:$Y$29,12,FALSE))</f>
        <v>4.95</v>
      </c>
      <c r="U39" s="2">
        <f>IF($H39="","",VLOOKUP($H39,Data!$C$6:$Y$29,13,FALSE))</f>
        <v>3.41</v>
      </c>
      <c r="V39" s="2">
        <f>IF($H39="","",VLOOKUP($H39,Data!$C$6:$Y$29,14,FALSE))</f>
        <v>50</v>
      </c>
      <c r="W39" s="2" t="str">
        <f>IF($H39="","",VLOOKUP($H39,Data!$C$6:$Y$29,15,FALSE))</f>
        <v>380-415/3/50</v>
      </c>
      <c r="X39" s="2">
        <f>IF($H39="","",VLOOKUP($H39,Data!$C$6:$Y$29,16,FALSE))</f>
        <v>378</v>
      </c>
      <c r="Y39" s="2">
        <f>IF($H39="","",VLOOKUP($H39,Data!$C$6:$Y$29,17,FALSE))</f>
        <v>1569</v>
      </c>
      <c r="Z39" s="2">
        <f>IF($H39="","",VLOOKUP($H39,Data!$C$6:$Y$29,18,FALSE))</f>
        <v>541</v>
      </c>
      <c r="AA39" s="2">
        <f>IF($H39="","",VLOOKUP($H39,Data!$C$6:$Y$29,19,FALSE))</f>
        <v>852</v>
      </c>
      <c r="AB39" s="2">
        <f>IF($H39="","",VLOOKUP($H39,Data!$C$6:$Y$29,20,FALSE))</f>
        <v>1030</v>
      </c>
      <c r="AC39" s="2">
        <f>IF($H39="","",VLOOKUP($H39,Data!$C$6:$Y$29,21,FALSE))</f>
        <v>400</v>
      </c>
      <c r="AD39" s="2">
        <f>IF($H39="","",VLOOKUP($H39,Data!$C$6:$Y$29,22,FALSE))</f>
        <v>56</v>
      </c>
      <c r="AE39" s="3">
        <f>IF($H39="","",VLOOKUP($H39,Data!$C$6:$Y$29,23,FALSE))</f>
        <v>87</v>
      </c>
      <c r="AG39" s="76" t="str">
        <f>IF($E39="","",IF($C39="DUCTED",VLOOKUP($E39,'DX-Data'!$D$5:$J$11,7,TRUE),IF($C39="DECORATIVE",VLOOKUP($E39,'DX-Data'!$D$19:$J$23,7,TRUE),IF($C39="PACKAGED",VLOOKUP($E39,'DX-Data'!$D$24:$J$30,7,TRUE),IF($C39="DUCTED-INV",VLOOKUP($E39,'DX-Data'!$D$12:$J$18,7,TRUE),"CHOOSE AC TYPE")))))</f>
        <v>FDMRN50AVKU - RR50AYKU</v>
      </c>
      <c r="AH39" s="76" t="str">
        <f>IF($F$9=TRUE,IF($C39="DUCTED",VLOOKUP($F39,'DX-Data'!$F$5:$J$11,5,TRUE),IF($C39="DECORATIVE",VLOOKUP($F39,'DX-Data'!$F$19:$J$23,5,TRUE),IF($C39="PACKAGED",VLOOKUP($F39,'DX-Data'!$F$24:$J$30,5,TRUE),IF($C39="DUCTED-INV",VLOOKUP($F39,'DX-Data'!$F$12:$J$18,5,TRUE),"CHOOSE AC TYPE")))),"NO SELECTION")</f>
        <v>FDMRN50AVKU - RR50AYKU</v>
      </c>
      <c r="AI39" s="76" t="str">
        <f>IF($G$9=TRUE,IF($C39="DUCTED",VLOOKUP($G39,'DX-Data'!$H$5:$J$11,3,TRUE),IF($C39="DECORATIVE",VLOOKUP($G39,'DX-Data'!$H$19:$J$23,3,TRUE),IF($C39="PACKAGED",VLOOKUP($G39,'DX-Data'!$H$24:$J$30,3,TRUE),IF($C39="DUCTED-INV",VLOOKUP($G39,'DX-Data'!$H$12:$J$18,3,TRUE),"CHOOSE AC TYPE")))),"NO SELECTION")</f>
        <v>NO SELECTION</v>
      </c>
      <c r="AJ39" s="77">
        <f>IF($E39="","",IF($C39="DUCTED",VLOOKUP($E39,'DX-Data'!$D$5:$J$11,6,TRUE),IF($C39="DECORATIVE",VLOOKUP($E39,'DX-Data'!$D$19:$J$23,6,TRUE),IF($C39="PACKAGED",VLOOKUP($E39,'DX-Data'!$D$24:$J$30,6,TRUE),IF($C39="DUCTED-INV",VLOOKUP($E39,'DX-Data'!$D$12:$J$18,6,TRUE),0)))))</f>
        <v>5</v>
      </c>
      <c r="AK39" s="77">
        <f>IF($F$9=TRUE,IF($C39="DUCTED",VLOOKUP($F39,'DX-Data'!$F$5:$J$11,4,TRUE),IF($C39="DECORATIVE",VLOOKUP($F39,'DX-Data'!$F$19:$J$23,4,TRUE),IF($C39="PACKAGED",VLOOKUP($F39,'DX-Data'!$F$24:$J$30,4,TRUE),IF($C39="DUCTED-INV",VLOOKUP($F39,'DX-Data'!$F$12:$J$18,4,TRUE),"CHOOSE AC TYPE")))),0)</f>
        <v>5</v>
      </c>
      <c r="AL39" s="77">
        <f>IF($G$9=TRUE,IF($C39="DUCTED",VLOOKUP($G39,'DX-Data'!$H$5:$J$11,2,TRUE),IF($C39="DECORATIVE",VLOOKUP($G39,'DX-Data'!$H$19:$J$23,2,TRUE),IF($C39="PACKAGED",VLOOKUP($G39,'DX-Data'!$H$24:$J$30,2,TRUE),IF($C39="DUCTED-INV",VLOOKUP($G39,'DX-Data'!$H$12:$J$18,2,TRUE),"CHOOSE AC TYPE")))),0)</f>
        <v>0</v>
      </c>
      <c r="AM39" s="77">
        <f t="shared" si="5"/>
        <v>5</v>
      </c>
      <c r="AN39" s="76" t="str">
        <f>IF(E39="","",VLOOKUP($AM39,'DX-Data'!$I$5:$J$31,2,FALSE))</f>
        <v>FDMRN50AVKU - RR50AYKU</v>
      </c>
      <c r="AO39" s="77">
        <f t="shared" si="6"/>
        <v>1</v>
      </c>
    </row>
    <row r="40" spans="2:41" x14ac:dyDescent="0.3">
      <c r="B40" s="71" t="s">
        <v>121</v>
      </c>
      <c r="C40" s="26" t="s">
        <v>38</v>
      </c>
      <c r="D40" s="27" t="s">
        <v>202</v>
      </c>
      <c r="E40" s="26">
        <v>9.3000000000000007</v>
      </c>
      <c r="F40" s="26">
        <v>7.8</v>
      </c>
      <c r="G40" s="82">
        <v>662</v>
      </c>
      <c r="H40" s="74" t="str">
        <f t="shared" si="7"/>
        <v>FDMRN50AVKU - RR50AYKU</v>
      </c>
      <c r="I40" s="2">
        <f t="shared" si="8"/>
        <v>1</v>
      </c>
      <c r="J40" s="21">
        <f>IF($H40="","",VLOOKUP($H40,Data!$C$6:$Y$29,2,FALSE))</f>
        <v>4</v>
      </c>
      <c r="K40" s="2" t="str">
        <f>IF($H40="","",VLOOKUP($H40,Data!$C$6:$Y$29,3,FALSE))</f>
        <v>Non-Inverter</v>
      </c>
      <c r="L40" s="2" t="str">
        <f>IF($H40="","",VLOOKUP($H40,Data!$C$6:$Y$29,4,FALSE))</f>
        <v>R-410A</v>
      </c>
      <c r="M40" s="2" t="str">
        <f>IF($H40="","",VLOOKUP($H40,Data!$C$6:$Y$29,5,FALSE))</f>
        <v>24/16</v>
      </c>
      <c r="N40" s="2">
        <f>IF($H40="","",VLOOKUP($H40,Data!$C$6:$Y$29,6,FALSE))</f>
        <v>46</v>
      </c>
      <c r="O40" s="2">
        <f>IF($H40="","",VLOOKUP($H40,Data!$C$6:$Y$29,7,FALSE))</f>
        <v>11.46</v>
      </c>
      <c r="P40" s="2">
        <f>IF($H40="","",VLOOKUP($H40,Data!$C$6:$Y$29,8,FALSE))</f>
        <v>9.9600000000000009</v>
      </c>
      <c r="Q40" s="2">
        <f>IF($H40="","",VLOOKUP($H40,Data!$C$6:$Y$29,9,FALSE))</f>
        <v>686</v>
      </c>
      <c r="R40" s="2" t="str">
        <f>IF($H40="","",VLOOKUP($H40,Data!$C$6:$Y$29,10,FALSE))</f>
        <v>MEDIUM</v>
      </c>
      <c r="S40" s="2">
        <f>IF($H40="","",VLOOKUP($H40,Data!$C$6:$Y$29,11,FALSE))</f>
        <v>4.7</v>
      </c>
      <c r="T40" s="2">
        <f>IF($H40="","",VLOOKUP($H40,Data!$C$6:$Y$29,12,FALSE))</f>
        <v>4.95</v>
      </c>
      <c r="U40" s="2">
        <f>IF($H40="","",VLOOKUP($H40,Data!$C$6:$Y$29,13,FALSE))</f>
        <v>3.41</v>
      </c>
      <c r="V40" s="2">
        <f>IF($H40="","",VLOOKUP($H40,Data!$C$6:$Y$29,14,FALSE))</f>
        <v>50</v>
      </c>
      <c r="W40" s="2" t="str">
        <f>IF($H40="","",VLOOKUP($H40,Data!$C$6:$Y$29,15,FALSE))</f>
        <v>380-415/3/50</v>
      </c>
      <c r="X40" s="2">
        <f>IF($H40="","",VLOOKUP($H40,Data!$C$6:$Y$29,16,FALSE))</f>
        <v>378</v>
      </c>
      <c r="Y40" s="2">
        <f>IF($H40="","",VLOOKUP($H40,Data!$C$6:$Y$29,17,FALSE))</f>
        <v>1569</v>
      </c>
      <c r="Z40" s="2">
        <f>IF($H40="","",VLOOKUP($H40,Data!$C$6:$Y$29,18,FALSE))</f>
        <v>541</v>
      </c>
      <c r="AA40" s="2">
        <f>IF($H40="","",VLOOKUP($H40,Data!$C$6:$Y$29,19,FALSE))</f>
        <v>852</v>
      </c>
      <c r="AB40" s="2">
        <f>IF($H40="","",VLOOKUP($H40,Data!$C$6:$Y$29,20,FALSE))</f>
        <v>1030</v>
      </c>
      <c r="AC40" s="2">
        <f>IF($H40="","",VLOOKUP($H40,Data!$C$6:$Y$29,21,FALSE))</f>
        <v>400</v>
      </c>
      <c r="AD40" s="2">
        <f>IF($H40="","",VLOOKUP($H40,Data!$C$6:$Y$29,22,FALSE))</f>
        <v>56</v>
      </c>
      <c r="AE40" s="3">
        <f>IF($H40="","",VLOOKUP($H40,Data!$C$6:$Y$29,23,FALSE))</f>
        <v>87</v>
      </c>
      <c r="AG40" s="76" t="str">
        <f>IF($E40="","",IF($C40="DUCTED",VLOOKUP($E40,'DX-Data'!$D$5:$J$11,7,TRUE),IF($C40="DECORATIVE",VLOOKUP($E40,'DX-Data'!$D$19:$J$23,7,TRUE),IF($C40="PACKAGED",VLOOKUP($E40,'DX-Data'!$D$24:$J$30,7,TRUE),IF($C40="DUCTED-INV",VLOOKUP($E40,'DX-Data'!$D$12:$J$18,7,TRUE),"CHOOSE AC TYPE")))))</f>
        <v>FDMRN50AVKU - RR50AYKU</v>
      </c>
      <c r="AH40" s="76" t="str">
        <f>IF($F$9=TRUE,IF($C40="DUCTED",VLOOKUP($F40,'DX-Data'!$F$5:$J$11,5,TRUE),IF($C40="DECORATIVE",VLOOKUP($F40,'DX-Data'!$F$19:$J$23,5,TRUE),IF($C40="PACKAGED",VLOOKUP($F40,'DX-Data'!$F$24:$J$30,5,TRUE),IF($C40="DUCTED-INV",VLOOKUP($F40,'DX-Data'!$F$12:$J$18,5,TRUE),"CHOOSE AC TYPE")))),"NO SELECTION")</f>
        <v>FDMRN36AVKU - RR36AVKU</v>
      </c>
      <c r="AI40" s="76" t="str">
        <f>IF($G$9=TRUE,IF($C40="DUCTED",VLOOKUP($G40,'DX-Data'!$H$5:$J$11,3,TRUE),IF($C40="DECORATIVE",VLOOKUP($G40,'DX-Data'!$H$19:$J$23,3,TRUE),IF($C40="PACKAGED",VLOOKUP($G40,'DX-Data'!$H$24:$J$30,3,TRUE),IF($C40="DUCTED-INV",VLOOKUP($G40,'DX-Data'!$H$12:$J$18,3,TRUE),"CHOOSE AC TYPE")))),"NO SELECTION")</f>
        <v>NO SELECTION</v>
      </c>
      <c r="AJ40" s="77">
        <f>IF($E40="","",IF($C40="DUCTED",VLOOKUP($E40,'DX-Data'!$D$5:$J$11,6,TRUE),IF($C40="DECORATIVE",VLOOKUP($E40,'DX-Data'!$D$19:$J$23,6,TRUE),IF($C40="PACKAGED",VLOOKUP($E40,'DX-Data'!$D$24:$J$30,6,TRUE),IF($C40="DUCTED-INV",VLOOKUP($E40,'DX-Data'!$D$12:$J$18,6,TRUE),0)))))</f>
        <v>5</v>
      </c>
      <c r="AK40" s="77">
        <f>IF($F$9=TRUE,IF($C40="DUCTED",VLOOKUP($F40,'DX-Data'!$F$5:$J$11,4,TRUE),IF($C40="DECORATIVE",VLOOKUP($F40,'DX-Data'!$F$19:$J$23,4,TRUE),IF($C40="PACKAGED",VLOOKUP($F40,'DX-Data'!$F$24:$J$30,4,TRUE),IF($C40="DUCTED-INV",VLOOKUP($F40,'DX-Data'!$F$12:$J$18,4,TRUE),"CHOOSE AC TYPE")))),0)</f>
        <v>4</v>
      </c>
      <c r="AL40" s="77">
        <f>IF($G$9=TRUE,IF($C40="DUCTED",VLOOKUP($G40,'DX-Data'!$H$5:$J$11,2,TRUE),IF($C40="DECORATIVE",VLOOKUP($G40,'DX-Data'!$H$19:$J$23,2,TRUE),IF($C40="PACKAGED",VLOOKUP($G40,'DX-Data'!$H$24:$J$30,2,TRUE),IF($C40="DUCTED-INV",VLOOKUP($G40,'DX-Data'!$H$12:$J$18,2,TRUE),"CHOOSE AC TYPE")))),0)</f>
        <v>0</v>
      </c>
      <c r="AM40" s="77">
        <f t="shared" si="5"/>
        <v>5</v>
      </c>
      <c r="AN40" s="76" t="str">
        <f>IF(E40="","",VLOOKUP($AM40,'DX-Data'!$I$5:$J$31,2,FALSE))</f>
        <v>FDMRN50AVKU - RR50AYKU</v>
      </c>
      <c r="AO40" s="77">
        <f t="shared" si="6"/>
        <v>1</v>
      </c>
    </row>
    <row r="41" spans="2:41" x14ac:dyDescent="0.3">
      <c r="B41" s="71" t="s">
        <v>122</v>
      </c>
      <c r="C41" s="26" t="s">
        <v>38</v>
      </c>
      <c r="D41" s="27" t="s">
        <v>203</v>
      </c>
      <c r="E41" s="26">
        <v>5.9</v>
      </c>
      <c r="F41" s="26">
        <v>5.0999999999999996</v>
      </c>
      <c r="G41" s="82">
        <v>424</v>
      </c>
      <c r="H41" s="74" t="str">
        <f t="shared" si="7"/>
        <v>FDMRN30AVKU - RR30AVKU</v>
      </c>
      <c r="I41" s="2">
        <f t="shared" si="8"/>
        <v>1</v>
      </c>
      <c r="J41" s="21">
        <f>IF($H41="","",VLOOKUP($H41,Data!$C$6:$Y$29,2,FALSE))</f>
        <v>2.5</v>
      </c>
      <c r="K41" s="2" t="str">
        <f>IF($H41="","",VLOOKUP($H41,Data!$C$6:$Y$29,3,FALSE))</f>
        <v>Non-Inverter</v>
      </c>
      <c r="L41" s="2" t="str">
        <f>IF($H41="","",VLOOKUP($H41,Data!$C$6:$Y$29,4,FALSE))</f>
        <v>R-410A</v>
      </c>
      <c r="M41" s="2" t="str">
        <f>IF($H41="","",VLOOKUP($H41,Data!$C$6:$Y$29,5,FALSE))</f>
        <v>24/16</v>
      </c>
      <c r="N41" s="2">
        <f>IF($H41="","",VLOOKUP($H41,Data!$C$6:$Y$29,6,FALSE))</f>
        <v>46</v>
      </c>
      <c r="O41" s="2">
        <f>IF($H41="","",VLOOKUP($H41,Data!$C$6:$Y$29,7,FALSE))</f>
        <v>6.93</v>
      </c>
      <c r="P41" s="2">
        <f>IF($H41="","",VLOOKUP($H41,Data!$C$6:$Y$29,8,FALSE))</f>
        <v>6.3</v>
      </c>
      <c r="Q41" s="2">
        <f>IF($H41="","",VLOOKUP($H41,Data!$C$6:$Y$29,9,FALSE))</f>
        <v>374</v>
      </c>
      <c r="R41" s="2" t="str">
        <f>IF($H41="","",VLOOKUP($H41,Data!$C$6:$Y$29,10,FALSE))</f>
        <v>MEDIUM</v>
      </c>
      <c r="S41" s="2">
        <f>IF($H41="","",VLOOKUP($H41,Data!$C$6:$Y$29,11,FALSE))</f>
        <v>2.87</v>
      </c>
      <c r="T41" s="2">
        <f>IF($H41="","",VLOOKUP($H41,Data!$C$6:$Y$29,12,FALSE))</f>
        <v>3.05</v>
      </c>
      <c r="U41" s="2">
        <f>IF($H41="","",VLOOKUP($H41,Data!$C$6:$Y$29,13,FALSE))</f>
        <v>3.49</v>
      </c>
      <c r="V41" s="2">
        <f>IF($H41="","",VLOOKUP($H41,Data!$C$6:$Y$29,14,FALSE))</f>
        <v>40</v>
      </c>
      <c r="W41" s="2" t="str">
        <f>IF($H41="","",VLOOKUP($H41,Data!$C$6:$Y$29,15,FALSE))</f>
        <v>220-240/1/50</v>
      </c>
      <c r="X41" s="2">
        <f>IF($H41="","",VLOOKUP($H41,Data!$C$6:$Y$29,16,FALSE))</f>
        <v>378</v>
      </c>
      <c r="Y41" s="2">
        <f>IF($H41="","",VLOOKUP($H41,Data!$C$6:$Y$29,17,FALSE))</f>
        <v>1115</v>
      </c>
      <c r="Z41" s="2">
        <f>IF($H41="","",VLOOKUP($H41,Data!$C$6:$Y$29,18,FALSE))</f>
        <v>541</v>
      </c>
      <c r="AA41" s="2">
        <f>IF($H41="","",VLOOKUP($H41,Data!$C$6:$Y$29,19,FALSE))</f>
        <v>852</v>
      </c>
      <c r="AB41" s="2">
        <f>IF($H41="","",VLOOKUP($H41,Data!$C$6:$Y$29,20,FALSE))</f>
        <v>1030</v>
      </c>
      <c r="AC41" s="2">
        <f>IF($H41="","",VLOOKUP($H41,Data!$C$6:$Y$29,21,FALSE))</f>
        <v>400</v>
      </c>
      <c r="AD41" s="2">
        <f>IF($H41="","",VLOOKUP($H41,Data!$C$6:$Y$29,22,FALSE))</f>
        <v>44</v>
      </c>
      <c r="AE41" s="3">
        <f>IF($H41="","",VLOOKUP($H41,Data!$C$6:$Y$29,23,FALSE))</f>
        <v>75</v>
      </c>
      <c r="AG41" s="76" t="str">
        <f>IF($E41="","",IF($C41="DUCTED",VLOOKUP($E41,'DX-Data'!$D$5:$J$11,7,TRUE),IF($C41="DECORATIVE",VLOOKUP($E41,'DX-Data'!$D$19:$J$23,7,TRUE),IF($C41="PACKAGED",VLOOKUP($E41,'DX-Data'!$D$24:$J$30,7,TRUE),IF($C41="DUCTED-INV",VLOOKUP($E41,'DX-Data'!$D$12:$J$18,7,TRUE),"CHOOSE AC TYPE")))))</f>
        <v>FDMRN30AVKU - RR30AVKU</v>
      </c>
      <c r="AH41" s="76" t="str">
        <f>IF($F$9=TRUE,IF($C41="DUCTED",VLOOKUP($F41,'DX-Data'!$F$5:$J$11,5,TRUE),IF($C41="DECORATIVE",VLOOKUP($F41,'DX-Data'!$F$19:$J$23,5,TRUE),IF($C41="PACKAGED",VLOOKUP($F41,'DX-Data'!$F$24:$J$30,5,TRUE),IF($C41="DUCTED-INV",VLOOKUP($F41,'DX-Data'!$F$12:$J$18,5,TRUE),"CHOOSE AC TYPE")))),"NO SELECTION")</f>
        <v>FDMRN30AVKU - RR30AVKU</v>
      </c>
      <c r="AI41" s="76" t="str">
        <f>IF($G$9=TRUE,IF($C41="DUCTED",VLOOKUP($G41,'DX-Data'!$H$5:$J$11,3,TRUE),IF($C41="DECORATIVE",VLOOKUP($G41,'DX-Data'!$H$19:$J$23,3,TRUE),IF($C41="PACKAGED",VLOOKUP($G41,'DX-Data'!$H$24:$J$30,3,TRUE),IF($C41="DUCTED-INV",VLOOKUP($G41,'DX-Data'!$H$12:$J$18,3,TRUE),"CHOOSE AC TYPE")))),"NO SELECTION")</f>
        <v>NO SELECTION</v>
      </c>
      <c r="AJ41" s="77">
        <f>IF($E41="","",IF($C41="DUCTED",VLOOKUP($E41,'DX-Data'!$D$5:$J$11,6,TRUE),IF($C41="DECORATIVE",VLOOKUP($E41,'DX-Data'!$D$19:$J$23,6,TRUE),IF($C41="PACKAGED",VLOOKUP($E41,'DX-Data'!$D$24:$J$30,6,TRUE),IF($C41="DUCTED-INV",VLOOKUP($E41,'DX-Data'!$D$12:$J$18,6,TRUE),0)))))</f>
        <v>3</v>
      </c>
      <c r="AK41" s="77">
        <f>IF($F$9=TRUE,IF($C41="DUCTED",VLOOKUP($F41,'DX-Data'!$F$5:$J$11,4,TRUE),IF($C41="DECORATIVE",VLOOKUP($F41,'DX-Data'!$F$19:$J$23,4,TRUE),IF($C41="PACKAGED",VLOOKUP($F41,'DX-Data'!$F$24:$J$30,4,TRUE),IF($C41="DUCTED-INV",VLOOKUP($F41,'DX-Data'!$F$12:$J$18,4,TRUE),"CHOOSE AC TYPE")))),0)</f>
        <v>3</v>
      </c>
      <c r="AL41" s="77">
        <f>IF($G$9=TRUE,IF($C41="DUCTED",VLOOKUP($G41,'DX-Data'!$H$5:$J$11,2,TRUE),IF($C41="DECORATIVE",VLOOKUP($G41,'DX-Data'!$H$19:$J$23,2,TRUE),IF($C41="PACKAGED",VLOOKUP($G41,'DX-Data'!$H$24:$J$30,2,TRUE),IF($C41="DUCTED-INV",VLOOKUP($G41,'DX-Data'!$H$12:$J$18,2,TRUE),"CHOOSE AC TYPE")))),0)</f>
        <v>0</v>
      </c>
      <c r="AM41" s="77">
        <f t="shared" si="5"/>
        <v>3</v>
      </c>
      <c r="AN41" s="76" t="str">
        <f>IF(E41="","",VLOOKUP($AM41,'DX-Data'!$I$5:$J$31,2,FALSE))</f>
        <v>FDMRN30AVKU - RR30AVKU</v>
      </c>
      <c r="AO41" s="77">
        <f t="shared" si="6"/>
        <v>1</v>
      </c>
    </row>
    <row r="42" spans="2:41" x14ac:dyDescent="0.3">
      <c r="B42" s="71" t="s">
        <v>123</v>
      </c>
      <c r="C42" s="26" t="s">
        <v>38</v>
      </c>
      <c r="D42" s="27" t="s">
        <v>204</v>
      </c>
      <c r="E42" s="26">
        <v>5.9</v>
      </c>
      <c r="F42" s="26">
        <v>5.0999999999999996</v>
      </c>
      <c r="G42" s="82">
        <v>424</v>
      </c>
      <c r="H42" s="74" t="str">
        <f t="shared" si="7"/>
        <v>FDMRN30AVKU - RR30AVKU</v>
      </c>
      <c r="I42" s="2">
        <f t="shared" si="8"/>
        <v>1</v>
      </c>
      <c r="J42" s="21">
        <f>IF($H42="","",VLOOKUP($H42,Data!$C$6:$Y$29,2,FALSE))</f>
        <v>2.5</v>
      </c>
      <c r="K42" s="2" t="str">
        <f>IF($H42="","",VLOOKUP($H42,Data!$C$6:$Y$29,3,FALSE))</f>
        <v>Non-Inverter</v>
      </c>
      <c r="L42" s="2" t="str">
        <f>IF($H42="","",VLOOKUP($H42,Data!$C$6:$Y$29,4,FALSE))</f>
        <v>R-410A</v>
      </c>
      <c r="M42" s="2" t="str">
        <f>IF($H42="","",VLOOKUP($H42,Data!$C$6:$Y$29,5,FALSE))</f>
        <v>24/16</v>
      </c>
      <c r="N42" s="2">
        <f>IF($H42="","",VLOOKUP($H42,Data!$C$6:$Y$29,6,FALSE))</f>
        <v>46</v>
      </c>
      <c r="O42" s="2">
        <f>IF($H42="","",VLOOKUP($H42,Data!$C$6:$Y$29,7,FALSE))</f>
        <v>6.93</v>
      </c>
      <c r="P42" s="2">
        <f>IF($H42="","",VLOOKUP($H42,Data!$C$6:$Y$29,8,FALSE))</f>
        <v>6.3</v>
      </c>
      <c r="Q42" s="2">
        <f>IF($H42="","",VLOOKUP($H42,Data!$C$6:$Y$29,9,FALSE))</f>
        <v>374</v>
      </c>
      <c r="R42" s="2" t="str">
        <f>IF($H42="","",VLOOKUP($H42,Data!$C$6:$Y$29,10,FALSE))</f>
        <v>MEDIUM</v>
      </c>
      <c r="S42" s="2">
        <f>IF($H42="","",VLOOKUP($H42,Data!$C$6:$Y$29,11,FALSE))</f>
        <v>2.87</v>
      </c>
      <c r="T42" s="2">
        <f>IF($H42="","",VLOOKUP($H42,Data!$C$6:$Y$29,12,FALSE))</f>
        <v>3.05</v>
      </c>
      <c r="U42" s="2">
        <f>IF($H42="","",VLOOKUP($H42,Data!$C$6:$Y$29,13,FALSE))</f>
        <v>3.49</v>
      </c>
      <c r="V42" s="2">
        <f>IF($H42="","",VLOOKUP($H42,Data!$C$6:$Y$29,14,FALSE))</f>
        <v>40</v>
      </c>
      <c r="W42" s="2" t="str">
        <f>IF($H42="","",VLOOKUP($H42,Data!$C$6:$Y$29,15,FALSE))</f>
        <v>220-240/1/50</v>
      </c>
      <c r="X42" s="2">
        <f>IF($H42="","",VLOOKUP($H42,Data!$C$6:$Y$29,16,FALSE))</f>
        <v>378</v>
      </c>
      <c r="Y42" s="2">
        <f>IF($H42="","",VLOOKUP($H42,Data!$C$6:$Y$29,17,FALSE))</f>
        <v>1115</v>
      </c>
      <c r="Z42" s="2">
        <f>IF($H42="","",VLOOKUP($H42,Data!$C$6:$Y$29,18,FALSE))</f>
        <v>541</v>
      </c>
      <c r="AA42" s="2">
        <f>IF($H42="","",VLOOKUP($H42,Data!$C$6:$Y$29,19,FALSE))</f>
        <v>852</v>
      </c>
      <c r="AB42" s="2">
        <f>IF($H42="","",VLOOKUP($H42,Data!$C$6:$Y$29,20,FALSE))</f>
        <v>1030</v>
      </c>
      <c r="AC42" s="2">
        <f>IF($H42="","",VLOOKUP($H42,Data!$C$6:$Y$29,21,FALSE))</f>
        <v>400</v>
      </c>
      <c r="AD42" s="2">
        <f>IF($H42="","",VLOOKUP($H42,Data!$C$6:$Y$29,22,FALSE))</f>
        <v>44</v>
      </c>
      <c r="AE42" s="3">
        <f>IF($H42="","",VLOOKUP($H42,Data!$C$6:$Y$29,23,FALSE))</f>
        <v>75</v>
      </c>
      <c r="AG42" s="76" t="str">
        <f>IF($E42="","",IF($C42="DUCTED",VLOOKUP($E42,'DX-Data'!$D$5:$J$11,7,TRUE),IF($C42="DECORATIVE",VLOOKUP($E42,'DX-Data'!$D$19:$J$23,7,TRUE),IF($C42="PACKAGED",VLOOKUP($E42,'DX-Data'!$D$24:$J$30,7,TRUE),IF($C42="DUCTED-INV",VLOOKUP($E42,'DX-Data'!$D$12:$J$18,7,TRUE),"CHOOSE AC TYPE")))))</f>
        <v>FDMRN30AVKU - RR30AVKU</v>
      </c>
      <c r="AH42" s="76" t="str">
        <f>IF($F$9=TRUE,IF($C42="DUCTED",VLOOKUP($F42,'DX-Data'!$F$5:$J$11,5,TRUE),IF($C42="DECORATIVE",VLOOKUP($F42,'DX-Data'!$F$19:$J$23,5,TRUE),IF($C42="PACKAGED",VLOOKUP($F42,'DX-Data'!$F$24:$J$30,5,TRUE),IF($C42="DUCTED-INV",VLOOKUP($F42,'DX-Data'!$F$12:$J$18,5,TRUE),"CHOOSE AC TYPE")))),"NO SELECTION")</f>
        <v>FDMRN30AVKU - RR30AVKU</v>
      </c>
      <c r="AI42" s="76" t="str">
        <f>IF($G$9=TRUE,IF($C42="DUCTED",VLOOKUP($G42,'DX-Data'!$H$5:$J$11,3,TRUE),IF($C42="DECORATIVE",VLOOKUP($G42,'DX-Data'!$H$19:$J$23,3,TRUE),IF($C42="PACKAGED",VLOOKUP($G42,'DX-Data'!$H$24:$J$30,3,TRUE),IF($C42="DUCTED-INV",VLOOKUP($G42,'DX-Data'!$H$12:$J$18,3,TRUE),"CHOOSE AC TYPE")))),"NO SELECTION")</f>
        <v>NO SELECTION</v>
      </c>
      <c r="AJ42" s="77">
        <f>IF($E42="","",IF($C42="DUCTED",VLOOKUP($E42,'DX-Data'!$D$5:$J$11,6,TRUE),IF($C42="DECORATIVE",VLOOKUP($E42,'DX-Data'!$D$19:$J$23,6,TRUE),IF($C42="PACKAGED",VLOOKUP($E42,'DX-Data'!$D$24:$J$30,6,TRUE),IF($C42="DUCTED-INV",VLOOKUP($E42,'DX-Data'!$D$12:$J$18,6,TRUE),0)))))</f>
        <v>3</v>
      </c>
      <c r="AK42" s="77">
        <f>IF($F$9=TRUE,IF($C42="DUCTED",VLOOKUP($F42,'DX-Data'!$F$5:$J$11,4,TRUE),IF($C42="DECORATIVE",VLOOKUP($F42,'DX-Data'!$F$19:$J$23,4,TRUE),IF($C42="PACKAGED",VLOOKUP($F42,'DX-Data'!$F$24:$J$30,4,TRUE),IF($C42="DUCTED-INV",VLOOKUP($F42,'DX-Data'!$F$12:$J$18,4,TRUE),"CHOOSE AC TYPE")))),0)</f>
        <v>3</v>
      </c>
      <c r="AL42" s="77">
        <f>IF($G$9=TRUE,IF($C42="DUCTED",VLOOKUP($G42,'DX-Data'!$H$5:$J$11,2,TRUE),IF($C42="DECORATIVE",VLOOKUP($G42,'DX-Data'!$H$19:$J$23,2,TRUE),IF($C42="PACKAGED",VLOOKUP($G42,'DX-Data'!$H$24:$J$30,2,TRUE),IF($C42="DUCTED-INV",VLOOKUP($G42,'DX-Data'!$H$12:$J$18,2,TRUE),"CHOOSE AC TYPE")))),0)</f>
        <v>0</v>
      </c>
      <c r="AM42" s="77">
        <f t="shared" si="5"/>
        <v>3</v>
      </c>
      <c r="AN42" s="76" t="str">
        <f>IF(E42="","",VLOOKUP($AM42,'DX-Data'!$I$5:$J$31,2,FALSE))</f>
        <v>FDMRN30AVKU - RR30AVKU</v>
      </c>
      <c r="AO42" s="77">
        <f t="shared" si="6"/>
        <v>1</v>
      </c>
    </row>
    <row r="43" spans="2:41" x14ac:dyDescent="0.3">
      <c r="B43" s="71" t="s">
        <v>124</v>
      </c>
      <c r="C43" s="26" t="s">
        <v>38</v>
      </c>
      <c r="D43" s="27" t="s">
        <v>206</v>
      </c>
      <c r="E43" s="26">
        <v>6.2</v>
      </c>
      <c r="F43" s="26">
        <v>5.0999999999999996</v>
      </c>
      <c r="G43" s="82">
        <v>431</v>
      </c>
      <c r="H43" s="74" t="str">
        <f t="shared" si="7"/>
        <v>FDMRN30AVKU - RR30AVKU</v>
      </c>
      <c r="I43" s="2">
        <f t="shared" si="8"/>
        <v>1</v>
      </c>
      <c r="J43" s="21">
        <f>IF($H43="","",VLOOKUP($H43,Data!$C$6:$Y$29,2,FALSE))</f>
        <v>2.5</v>
      </c>
      <c r="K43" s="2" t="str">
        <f>IF($H43="","",VLOOKUP($H43,Data!$C$6:$Y$29,3,FALSE))</f>
        <v>Non-Inverter</v>
      </c>
      <c r="L43" s="2" t="str">
        <f>IF($H43="","",VLOOKUP($H43,Data!$C$6:$Y$29,4,FALSE))</f>
        <v>R-410A</v>
      </c>
      <c r="M43" s="2" t="str">
        <f>IF($H43="","",VLOOKUP($H43,Data!$C$6:$Y$29,5,FALSE))</f>
        <v>24/16</v>
      </c>
      <c r="N43" s="2">
        <f>IF($H43="","",VLOOKUP($H43,Data!$C$6:$Y$29,6,FALSE))</f>
        <v>46</v>
      </c>
      <c r="O43" s="2">
        <f>IF($H43="","",VLOOKUP($H43,Data!$C$6:$Y$29,7,FALSE))</f>
        <v>6.93</v>
      </c>
      <c r="P43" s="2">
        <f>IF($H43="","",VLOOKUP($H43,Data!$C$6:$Y$29,8,FALSE))</f>
        <v>6.3</v>
      </c>
      <c r="Q43" s="2">
        <f>IF($H43="","",VLOOKUP($H43,Data!$C$6:$Y$29,9,FALSE))</f>
        <v>374</v>
      </c>
      <c r="R43" s="2" t="str">
        <f>IF($H43="","",VLOOKUP($H43,Data!$C$6:$Y$29,10,FALSE))</f>
        <v>MEDIUM</v>
      </c>
      <c r="S43" s="2">
        <f>IF($H43="","",VLOOKUP($H43,Data!$C$6:$Y$29,11,FALSE))</f>
        <v>2.87</v>
      </c>
      <c r="T43" s="2">
        <f>IF($H43="","",VLOOKUP($H43,Data!$C$6:$Y$29,12,FALSE))</f>
        <v>3.05</v>
      </c>
      <c r="U43" s="2">
        <f>IF($H43="","",VLOOKUP($H43,Data!$C$6:$Y$29,13,FALSE))</f>
        <v>3.49</v>
      </c>
      <c r="V43" s="2">
        <f>IF($H43="","",VLOOKUP($H43,Data!$C$6:$Y$29,14,FALSE))</f>
        <v>40</v>
      </c>
      <c r="W43" s="2" t="str">
        <f>IF($H43="","",VLOOKUP($H43,Data!$C$6:$Y$29,15,FALSE))</f>
        <v>220-240/1/50</v>
      </c>
      <c r="X43" s="2">
        <f>IF($H43="","",VLOOKUP($H43,Data!$C$6:$Y$29,16,FALSE))</f>
        <v>378</v>
      </c>
      <c r="Y43" s="2">
        <f>IF($H43="","",VLOOKUP($H43,Data!$C$6:$Y$29,17,FALSE))</f>
        <v>1115</v>
      </c>
      <c r="Z43" s="2">
        <f>IF($H43="","",VLOOKUP($H43,Data!$C$6:$Y$29,18,FALSE))</f>
        <v>541</v>
      </c>
      <c r="AA43" s="2">
        <f>IF($H43="","",VLOOKUP($H43,Data!$C$6:$Y$29,19,FALSE))</f>
        <v>852</v>
      </c>
      <c r="AB43" s="2">
        <f>IF($H43="","",VLOOKUP($H43,Data!$C$6:$Y$29,20,FALSE))</f>
        <v>1030</v>
      </c>
      <c r="AC43" s="2">
        <f>IF($H43="","",VLOOKUP($H43,Data!$C$6:$Y$29,21,FALSE))</f>
        <v>400</v>
      </c>
      <c r="AD43" s="2">
        <f>IF($H43="","",VLOOKUP($H43,Data!$C$6:$Y$29,22,FALSE))</f>
        <v>44</v>
      </c>
      <c r="AE43" s="3">
        <f>IF($H43="","",VLOOKUP($H43,Data!$C$6:$Y$29,23,FALSE))</f>
        <v>75</v>
      </c>
      <c r="AG43" s="76" t="str">
        <f>IF($E43="","",IF($C43="DUCTED",VLOOKUP($E43,'DX-Data'!$D$5:$J$11,7,TRUE),IF($C43="DECORATIVE",VLOOKUP($E43,'DX-Data'!$D$19:$J$23,7,TRUE),IF($C43="PACKAGED",VLOOKUP($E43,'DX-Data'!$D$24:$J$30,7,TRUE),IF($C43="DUCTED-INV",VLOOKUP($E43,'DX-Data'!$D$12:$J$18,7,TRUE),"CHOOSE AC TYPE")))))</f>
        <v>FDMRN30AVKU - RR30AVKU</v>
      </c>
      <c r="AH43" s="76" t="str">
        <f>IF($F$9=TRUE,IF($C43="DUCTED",VLOOKUP($F43,'DX-Data'!$F$5:$J$11,5,TRUE),IF($C43="DECORATIVE",VLOOKUP($F43,'DX-Data'!$F$19:$J$23,5,TRUE),IF($C43="PACKAGED",VLOOKUP($F43,'DX-Data'!$F$24:$J$30,5,TRUE),IF($C43="DUCTED-INV",VLOOKUP($F43,'DX-Data'!$F$12:$J$18,5,TRUE),"CHOOSE AC TYPE")))),"NO SELECTION")</f>
        <v>FDMRN30AVKU - RR30AVKU</v>
      </c>
      <c r="AI43" s="76" t="str">
        <f>IF($G$9=TRUE,IF($C43="DUCTED",VLOOKUP($G43,'DX-Data'!$H$5:$J$11,3,TRUE),IF($C43="DECORATIVE",VLOOKUP($G43,'DX-Data'!$H$19:$J$23,3,TRUE),IF($C43="PACKAGED",VLOOKUP($G43,'DX-Data'!$H$24:$J$30,3,TRUE),IF($C43="DUCTED-INV",VLOOKUP($G43,'DX-Data'!$H$12:$J$18,3,TRUE),"CHOOSE AC TYPE")))),"NO SELECTION")</f>
        <v>NO SELECTION</v>
      </c>
      <c r="AJ43" s="77">
        <f>IF($E43="","",IF($C43="DUCTED",VLOOKUP($E43,'DX-Data'!$D$5:$J$11,6,TRUE),IF($C43="DECORATIVE",VLOOKUP($E43,'DX-Data'!$D$19:$J$23,6,TRUE),IF($C43="PACKAGED",VLOOKUP($E43,'DX-Data'!$D$24:$J$30,6,TRUE),IF($C43="DUCTED-INV",VLOOKUP($E43,'DX-Data'!$D$12:$J$18,6,TRUE),0)))))</f>
        <v>3</v>
      </c>
      <c r="AK43" s="77">
        <f>IF($F$9=TRUE,IF($C43="DUCTED",VLOOKUP($F43,'DX-Data'!$F$5:$J$11,4,TRUE),IF($C43="DECORATIVE",VLOOKUP($F43,'DX-Data'!$F$19:$J$23,4,TRUE),IF($C43="PACKAGED",VLOOKUP($F43,'DX-Data'!$F$24:$J$30,4,TRUE),IF($C43="DUCTED-INV",VLOOKUP($F43,'DX-Data'!$F$12:$J$18,4,TRUE),"CHOOSE AC TYPE")))),0)</f>
        <v>3</v>
      </c>
      <c r="AL43" s="77">
        <f>IF($G$9=TRUE,IF($C43="DUCTED",VLOOKUP($G43,'DX-Data'!$H$5:$J$11,2,TRUE),IF($C43="DECORATIVE",VLOOKUP($G43,'DX-Data'!$H$19:$J$23,2,TRUE),IF($C43="PACKAGED",VLOOKUP($G43,'DX-Data'!$H$24:$J$30,2,TRUE),IF($C43="DUCTED-INV",VLOOKUP($G43,'DX-Data'!$H$12:$J$18,2,TRUE),"CHOOSE AC TYPE")))),0)</f>
        <v>0</v>
      </c>
      <c r="AM43" s="77">
        <f t="shared" si="5"/>
        <v>3</v>
      </c>
      <c r="AN43" s="76" t="str">
        <f>IF(E43="","",VLOOKUP($AM43,'DX-Data'!$I$5:$J$31,2,FALSE))</f>
        <v>FDMRN30AVKU - RR30AVKU</v>
      </c>
      <c r="AO43" s="77">
        <f t="shared" si="6"/>
        <v>1</v>
      </c>
    </row>
    <row r="44" spans="2:41" x14ac:dyDescent="0.3">
      <c r="B44" s="71" t="s">
        <v>125</v>
      </c>
      <c r="C44" s="26" t="s">
        <v>38</v>
      </c>
      <c r="D44" s="27" t="s">
        <v>209</v>
      </c>
      <c r="E44" s="26">
        <v>3.9</v>
      </c>
      <c r="F44" s="26">
        <v>3.6</v>
      </c>
      <c r="G44" s="82">
        <v>303</v>
      </c>
      <c r="H44" s="74" t="str">
        <f t="shared" si="7"/>
        <v>FDMRN20AVKU - RR20AVKU</v>
      </c>
      <c r="I44" s="2">
        <f t="shared" si="8"/>
        <v>1</v>
      </c>
      <c r="J44" s="21">
        <f>IF($H44="","",VLOOKUP($H44,Data!$C$6:$Y$29,2,FALSE))</f>
        <v>1.5</v>
      </c>
      <c r="K44" s="2" t="str">
        <f>IF($H44="","",VLOOKUP($H44,Data!$C$6:$Y$29,3,FALSE))</f>
        <v>Non-Inverter</v>
      </c>
      <c r="L44" s="2" t="str">
        <f>IF($H44="","",VLOOKUP($H44,Data!$C$6:$Y$29,4,FALSE))</f>
        <v>R-410A</v>
      </c>
      <c r="M44" s="2" t="str">
        <f>IF($H44="","",VLOOKUP($H44,Data!$C$6:$Y$29,5,FALSE))</f>
        <v>24/16</v>
      </c>
      <c r="N44" s="2">
        <f>IF($H44="","",VLOOKUP($H44,Data!$C$6:$Y$29,6,FALSE))</f>
        <v>46</v>
      </c>
      <c r="O44" s="2">
        <f>IF($H44="","",VLOOKUP($H44,Data!$C$6:$Y$29,7,FALSE))</f>
        <v>4.24</v>
      </c>
      <c r="P44" s="2">
        <f>IF($H44="","",VLOOKUP($H44,Data!$C$6:$Y$29,8,FALSE))</f>
        <v>4.1100000000000003</v>
      </c>
      <c r="Q44" s="2">
        <f>IF($H44="","",VLOOKUP($H44,Data!$C$6:$Y$29,9,FALSE))</f>
        <v>255</v>
      </c>
      <c r="R44" s="2" t="str">
        <f>IF($H44="","",VLOOKUP($H44,Data!$C$6:$Y$29,10,FALSE))</f>
        <v>MEDIUM</v>
      </c>
      <c r="S44" s="2">
        <f>IF($H44="","",VLOOKUP($H44,Data!$C$6:$Y$29,11,FALSE))</f>
        <v>1.77</v>
      </c>
      <c r="T44" s="2">
        <f>IF($H44="","",VLOOKUP($H44,Data!$C$6:$Y$29,12,FALSE))</f>
        <v>1.8</v>
      </c>
      <c r="U44" s="2">
        <f>IF($H44="","",VLOOKUP($H44,Data!$C$6:$Y$29,13,FALSE))</f>
        <v>3.49</v>
      </c>
      <c r="V44" s="2">
        <f>IF($H44="","",VLOOKUP($H44,Data!$C$6:$Y$29,14,FALSE))</f>
        <v>40</v>
      </c>
      <c r="W44" s="2" t="str">
        <f>IF($H44="","",VLOOKUP($H44,Data!$C$6:$Y$29,15,FALSE))</f>
        <v>220-240/1/50</v>
      </c>
      <c r="X44" s="2">
        <f>IF($H44="","",VLOOKUP($H44,Data!$C$6:$Y$29,16,FALSE))</f>
        <v>261</v>
      </c>
      <c r="Y44" s="2">
        <f>IF($H44="","",VLOOKUP($H44,Data!$C$6:$Y$29,17,FALSE))</f>
        <v>1200</v>
      </c>
      <c r="Z44" s="2">
        <f>IF($H44="","",VLOOKUP($H44,Data!$C$6:$Y$29,18,FALSE))</f>
        <v>448</v>
      </c>
      <c r="AA44" s="2">
        <f>IF($H44="","",VLOOKUP($H44,Data!$C$6:$Y$29,19,FALSE))</f>
        <v>753</v>
      </c>
      <c r="AB44" s="2">
        <f>IF($H44="","",VLOOKUP($H44,Data!$C$6:$Y$29,20,FALSE))</f>
        <v>855</v>
      </c>
      <c r="AC44" s="2">
        <f>IF($H44="","",VLOOKUP($H44,Data!$C$6:$Y$29,21,FALSE))</f>
        <v>328</v>
      </c>
      <c r="AD44" s="2">
        <f>IF($H44="","",VLOOKUP($H44,Data!$C$6:$Y$29,22,FALSE))</f>
        <v>26</v>
      </c>
      <c r="AE44" s="3">
        <f>IF($H44="","",VLOOKUP($H44,Data!$C$6:$Y$29,23,FALSE))</f>
        <v>47</v>
      </c>
      <c r="AG44" s="76" t="str">
        <f>IF($E44="","",IF($C44="DUCTED",VLOOKUP($E44,'DX-Data'!$D$5:$J$11,7,TRUE),IF($C44="DECORATIVE",VLOOKUP($E44,'DX-Data'!$D$19:$J$23,7,TRUE),IF($C44="PACKAGED",VLOOKUP($E44,'DX-Data'!$D$24:$J$30,7,TRUE),IF($C44="DUCTED-INV",VLOOKUP($E44,'DX-Data'!$D$12:$J$18,7,TRUE),"CHOOSE AC TYPE")))))</f>
        <v>FDMRN20AVKU - RR20AVKU</v>
      </c>
      <c r="AH44" s="76" t="str">
        <f>IF($F$9=TRUE,IF($C44="DUCTED",VLOOKUP($F44,'DX-Data'!$F$5:$J$11,5,TRUE),IF($C44="DECORATIVE",VLOOKUP($F44,'DX-Data'!$F$19:$J$23,5,TRUE),IF($C44="PACKAGED",VLOOKUP($F44,'DX-Data'!$F$24:$J$30,5,TRUE),IF($C44="DUCTED-INV",VLOOKUP($F44,'DX-Data'!$F$12:$J$18,5,TRUE),"CHOOSE AC TYPE")))),"NO SELECTION")</f>
        <v>FDMRN20AVKU - RR20AVKU</v>
      </c>
      <c r="AI44" s="76" t="str">
        <f>IF($G$9=TRUE,IF($C44="DUCTED",VLOOKUP($G44,'DX-Data'!$H$5:$J$11,3,TRUE),IF($C44="DECORATIVE",VLOOKUP($G44,'DX-Data'!$H$19:$J$23,3,TRUE),IF($C44="PACKAGED",VLOOKUP($G44,'DX-Data'!$H$24:$J$30,3,TRUE),IF($C44="DUCTED-INV",VLOOKUP($G44,'DX-Data'!$H$12:$J$18,3,TRUE),"CHOOSE AC TYPE")))),"NO SELECTION")</f>
        <v>NO SELECTION</v>
      </c>
      <c r="AJ44" s="77">
        <f>IF($E44="","",IF($C44="DUCTED",VLOOKUP($E44,'DX-Data'!$D$5:$J$11,6,TRUE),IF($C44="DECORATIVE",VLOOKUP($E44,'DX-Data'!$D$19:$J$23,6,TRUE),IF($C44="PACKAGED",VLOOKUP($E44,'DX-Data'!$D$24:$J$30,6,TRUE),IF($C44="DUCTED-INV",VLOOKUP($E44,'DX-Data'!$D$12:$J$18,6,TRUE),0)))))</f>
        <v>1</v>
      </c>
      <c r="AK44" s="77">
        <f>IF($F$9=TRUE,IF($C44="DUCTED",VLOOKUP($F44,'DX-Data'!$F$5:$J$11,4,TRUE),IF($C44="DECORATIVE",VLOOKUP($F44,'DX-Data'!$F$19:$J$23,4,TRUE),IF($C44="PACKAGED",VLOOKUP($F44,'DX-Data'!$F$24:$J$30,4,TRUE),IF($C44="DUCTED-INV",VLOOKUP($F44,'DX-Data'!$F$12:$J$18,4,TRUE),"CHOOSE AC TYPE")))),0)</f>
        <v>1</v>
      </c>
      <c r="AL44" s="77">
        <f>IF($G$9=TRUE,IF($C44="DUCTED",VLOOKUP($G44,'DX-Data'!$H$5:$J$11,2,TRUE),IF($C44="DECORATIVE",VLOOKUP($G44,'DX-Data'!$H$19:$J$23,2,TRUE),IF($C44="PACKAGED",VLOOKUP($G44,'DX-Data'!$H$24:$J$30,2,TRUE),IF($C44="DUCTED-INV",VLOOKUP($G44,'DX-Data'!$H$12:$J$18,2,TRUE),"CHOOSE AC TYPE")))),0)</f>
        <v>0</v>
      </c>
      <c r="AM44" s="77">
        <f t="shared" si="5"/>
        <v>1</v>
      </c>
      <c r="AN44" s="76" t="str">
        <f>IF(E44="","",VLOOKUP($AM44,'DX-Data'!$I$5:$J$31,2,FALSE))</f>
        <v>FDMRN20AVKU - RR20AVKU</v>
      </c>
      <c r="AO44" s="77">
        <f t="shared" si="6"/>
        <v>1</v>
      </c>
    </row>
    <row r="45" spans="2:41" x14ac:dyDescent="0.3">
      <c r="B45" s="71" t="s">
        <v>126</v>
      </c>
      <c r="C45" s="26" t="s">
        <v>38</v>
      </c>
      <c r="D45" s="27" t="s">
        <v>210</v>
      </c>
      <c r="E45" s="26">
        <v>15.6</v>
      </c>
      <c r="F45" s="26">
        <v>12.4</v>
      </c>
      <c r="G45" s="82">
        <v>1023</v>
      </c>
      <c r="H45" s="74" t="s">
        <v>51</v>
      </c>
      <c r="I45" s="2">
        <v>2</v>
      </c>
      <c r="J45" s="21">
        <f>IF($H45="","",VLOOKUP($H45,Data!$C$6:$Y$29,2,FALSE))</f>
        <v>3</v>
      </c>
      <c r="K45" s="2" t="str">
        <f>IF($H45="","",VLOOKUP($H45,Data!$C$6:$Y$29,3,FALSE))</f>
        <v>Non-Inverter</v>
      </c>
      <c r="L45" s="2" t="str">
        <f>IF($H45="","",VLOOKUP($H45,Data!$C$6:$Y$29,4,FALSE))</f>
        <v>R-410A</v>
      </c>
      <c r="M45" s="2" t="str">
        <f>IF($H45="","",VLOOKUP($H45,Data!$C$6:$Y$29,5,FALSE))</f>
        <v>24/16</v>
      </c>
      <c r="N45" s="2">
        <f>IF($H45="","",VLOOKUP($H45,Data!$C$6:$Y$29,6,FALSE))</f>
        <v>46</v>
      </c>
      <c r="O45" s="2">
        <f>IF($H45="","",VLOOKUP($H45,Data!$C$6:$Y$29,7,FALSE))</f>
        <v>8.42</v>
      </c>
      <c r="P45" s="2">
        <f>IF($H45="","",VLOOKUP($H45,Data!$C$6:$Y$29,8,FALSE))</f>
        <v>8.18</v>
      </c>
      <c r="Q45" s="2">
        <f>IF($H45="","",VLOOKUP($H45,Data!$C$6:$Y$29,9,FALSE))</f>
        <v>650</v>
      </c>
      <c r="R45" s="2" t="str">
        <f>IF($H45="","",VLOOKUP($H45,Data!$C$6:$Y$29,10,FALSE))</f>
        <v>MEDIUM</v>
      </c>
      <c r="S45" s="2">
        <f>IF($H45="","",VLOOKUP($H45,Data!$C$6:$Y$29,11,FALSE))</f>
        <v>3.39</v>
      </c>
      <c r="T45" s="2">
        <f>IF($H45="","",VLOOKUP($H45,Data!$C$6:$Y$29,12,FALSE))</f>
        <v>3.55</v>
      </c>
      <c r="U45" s="2">
        <f>IF($H45="","",VLOOKUP($H45,Data!$C$6:$Y$29,13,FALSE))</f>
        <v>3.56</v>
      </c>
      <c r="V45" s="2">
        <f>IF($H45="","",VLOOKUP($H45,Data!$C$6:$Y$29,14,FALSE))</f>
        <v>50</v>
      </c>
      <c r="W45" s="2" t="str">
        <f>IF($H45="","",VLOOKUP($H45,Data!$C$6:$Y$29,15,FALSE))</f>
        <v>220-240/1/50</v>
      </c>
      <c r="X45" s="2">
        <f>IF($H45="","",VLOOKUP($H45,Data!$C$6:$Y$29,16,FALSE))</f>
        <v>378</v>
      </c>
      <c r="Y45" s="2">
        <f>IF($H45="","",VLOOKUP($H45,Data!$C$6:$Y$29,17,FALSE))</f>
        <v>1369</v>
      </c>
      <c r="Z45" s="2">
        <f>IF($H45="","",VLOOKUP($H45,Data!$C$6:$Y$29,18,FALSE))</f>
        <v>541</v>
      </c>
      <c r="AA45" s="2">
        <f>IF($H45="","",VLOOKUP($H45,Data!$C$6:$Y$29,19,FALSE))</f>
        <v>852</v>
      </c>
      <c r="AB45" s="2">
        <f>IF($H45="","",VLOOKUP($H45,Data!$C$6:$Y$29,20,FALSE))</f>
        <v>1030</v>
      </c>
      <c r="AC45" s="2">
        <f>IF($H45="","",VLOOKUP($H45,Data!$C$6:$Y$29,21,FALSE))</f>
        <v>400</v>
      </c>
      <c r="AD45" s="2">
        <f>IF($H45="","",VLOOKUP($H45,Data!$C$6:$Y$29,22,FALSE))</f>
        <v>50</v>
      </c>
      <c r="AE45" s="3">
        <f>IF($H45="","",VLOOKUP($H45,Data!$C$6:$Y$29,23,FALSE))</f>
        <v>92</v>
      </c>
      <c r="AG45" s="76" t="str">
        <f>IF($E45="","",IF($C45="DUCTED",VLOOKUP($E45,'DX-Data'!$D$5:$J$11,7,TRUE),IF($C45="DECORATIVE",VLOOKUP($E45,'DX-Data'!$D$19:$J$23,7,TRUE),IF($C45="PACKAGED",VLOOKUP($E45,'DX-Data'!$D$24:$J$30,7,TRUE),IF($C45="DUCTED-INV",VLOOKUP($E45,'DX-Data'!$D$12:$J$18,7,TRUE),"CHOOSE AC TYPE")))))</f>
        <v>CHOOSE MANUALLY</v>
      </c>
      <c r="AH45" s="76" t="str">
        <f>IF($F$9=TRUE,IF($C45="DUCTED",VLOOKUP($F45,'DX-Data'!$F$5:$J$11,5,TRUE),IF($C45="DECORATIVE",VLOOKUP($F45,'DX-Data'!$F$19:$J$23,5,TRUE),IF($C45="PACKAGED",VLOOKUP($F45,'DX-Data'!$F$24:$J$30,5,TRUE),IF($C45="DUCTED-INV",VLOOKUP($F45,'DX-Data'!$F$12:$J$18,5,TRUE),"CHOOSE AC TYPE")))),"NO SELECTION")</f>
        <v>CHOOSE MANUALLY</v>
      </c>
      <c r="AI45" s="76" t="str">
        <f>IF($G$9=TRUE,IF($C45="DUCTED",VLOOKUP($G45,'DX-Data'!$H$5:$J$11,3,TRUE),IF($C45="DECORATIVE",VLOOKUP($G45,'DX-Data'!$H$19:$J$23,3,TRUE),IF($C45="PACKAGED",VLOOKUP($G45,'DX-Data'!$H$24:$J$30,3,TRUE),IF($C45="DUCTED-INV",VLOOKUP($G45,'DX-Data'!$H$12:$J$18,3,TRUE),"CHOOSE AC TYPE")))),"NO SELECTION")</f>
        <v>NO SELECTION</v>
      </c>
      <c r="AJ45" s="77">
        <f>IF($E45="","",IF($C45="DUCTED",VLOOKUP($E45,'DX-Data'!$D$5:$J$11,6,TRUE),IF($C45="DECORATIVE",VLOOKUP($E45,'DX-Data'!$D$19:$J$23,6,TRUE),IF($C45="PACKAGED",VLOOKUP($E45,'DX-Data'!$D$24:$J$30,6,TRUE),IF($C45="DUCTED-INV",VLOOKUP($E45,'DX-Data'!$D$12:$J$18,6,TRUE),0)))))</f>
        <v>7</v>
      </c>
      <c r="AK45" s="77">
        <f>IF($F$9=TRUE,IF($C45="DUCTED",VLOOKUP($F45,'DX-Data'!$F$5:$J$11,4,TRUE),IF($C45="DECORATIVE",VLOOKUP($F45,'DX-Data'!$F$19:$J$23,4,TRUE),IF($C45="PACKAGED",VLOOKUP($F45,'DX-Data'!$F$24:$J$30,4,TRUE),IF($C45="DUCTED-INV",VLOOKUP($F45,'DX-Data'!$F$12:$J$18,4,TRUE),"CHOOSE AC TYPE")))),0)</f>
        <v>7</v>
      </c>
      <c r="AL45" s="77">
        <f>IF($G$9=TRUE,IF($C45="DUCTED",VLOOKUP($G45,'DX-Data'!$H$5:$J$11,2,TRUE),IF($C45="DECORATIVE",VLOOKUP($G45,'DX-Data'!$H$19:$J$23,2,TRUE),IF($C45="PACKAGED",VLOOKUP($G45,'DX-Data'!$H$24:$J$30,2,TRUE),IF($C45="DUCTED-INV",VLOOKUP($G45,'DX-Data'!$H$12:$J$18,2,TRUE),"CHOOSE AC TYPE")))),0)</f>
        <v>0</v>
      </c>
      <c r="AM45" s="77">
        <f t="shared" si="5"/>
        <v>7</v>
      </c>
      <c r="AN45" s="76" t="str">
        <f>IF(E45="","",VLOOKUP($AM45,'DX-Data'!$I$5:$J$31,2,FALSE))</f>
        <v>CHOOSE MANUALLY</v>
      </c>
      <c r="AO45" s="77">
        <f t="shared" si="6"/>
        <v>1</v>
      </c>
    </row>
    <row r="46" spans="2:41" x14ac:dyDescent="0.3">
      <c r="B46" s="71" t="s">
        <v>127</v>
      </c>
      <c r="C46" s="26" t="s">
        <v>38</v>
      </c>
      <c r="D46" s="27" t="s">
        <v>211</v>
      </c>
      <c r="E46" s="26">
        <v>15.5</v>
      </c>
      <c r="F46" s="26">
        <v>12.8</v>
      </c>
      <c r="G46" s="82">
        <v>1054</v>
      </c>
      <c r="H46" s="74" t="s">
        <v>51</v>
      </c>
      <c r="I46" s="2">
        <v>2</v>
      </c>
      <c r="J46" s="21">
        <f>IF($H46="","",VLOOKUP($H46,Data!$C$6:$Y$29,2,FALSE))</f>
        <v>3</v>
      </c>
      <c r="K46" s="2" t="str">
        <f>IF($H46="","",VLOOKUP($H46,Data!$C$6:$Y$29,3,FALSE))</f>
        <v>Non-Inverter</v>
      </c>
      <c r="L46" s="2" t="str">
        <f>IF($H46="","",VLOOKUP($H46,Data!$C$6:$Y$29,4,FALSE))</f>
        <v>R-410A</v>
      </c>
      <c r="M46" s="2" t="str">
        <f>IF($H46="","",VLOOKUP($H46,Data!$C$6:$Y$29,5,FALSE))</f>
        <v>24/16</v>
      </c>
      <c r="N46" s="2">
        <f>IF($H46="","",VLOOKUP($H46,Data!$C$6:$Y$29,6,FALSE))</f>
        <v>46</v>
      </c>
      <c r="O46" s="2">
        <f>IF($H46="","",VLOOKUP($H46,Data!$C$6:$Y$29,7,FALSE))</f>
        <v>8.42</v>
      </c>
      <c r="P46" s="2">
        <f>IF($H46="","",VLOOKUP($H46,Data!$C$6:$Y$29,8,FALSE))</f>
        <v>8.18</v>
      </c>
      <c r="Q46" s="2">
        <f>IF($H46="","",VLOOKUP($H46,Data!$C$6:$Y$29,9,FALSE))</f>
        <v>650</v>
      </c>
      <c r="R46" s="2" t="str">
        <f>IF($H46="","",VLOOKUP($H46,Data!$C$6:$Y$29,10,FALSE))</f>
        <v>MEDIUM</v>
      </c>
      <c r="S46" s="2">
        <f>IF($H46="","",VLOOKUP($H46,Data!$C$6:$Y$29,11,FALSE))</f>
        <v>3.39</v>
      </c>
      <c r="T46" s="2">
        <f>IF($H46="","",VLOOKUP($H46,Data!$C$6:$Y$29,12,FALSE))</f>
        <v>3.55</v>
      </c>
      <c r="U46" s="2">
        <f>IF($H46="","",VLOOKUP($H46,Data!$C$6:$Y$29,13,FALSE))</f>
        <v>3.56</v>
      </c>
      <c r="V46" s="2">
        <f>IF($H46="","",VLOOKUP($H46,Data!$C$6:$Y$29,14,FALSE))</f>
        <v>50</v>
      </c>
      <c r="W46" s="2" t="str">
        <f>IF($H46="","",VLOOKUP($H46,Data!$C$6:$Y$29,15,FALSE))</f>
        <v>220-240/1/50</v>
      </c>
      <c r="X46" s="2">
        <f>IF($H46="","",VLOOKUP($H46,Data!$C$6:$Y$29,16,FALSE))</f>
        <v>378</v>
      </c>
      <c r="Y46" s="2">
        <f>IF($H46="","",VLOOKUP($H46,Data!$C$6:$Y$29,17,FALSE))</f>
        <v>1369</v>
      </c>
      <c r="Z46" s="2">
        <f>IF($H46="","",VLOOKUP($H46,Data!$C$6:$Y$29,18,FALSE))</f>
        <v>541</v>
      </c>
      <c r="AA46" s="2">
        <f>IF($H46="","",VLOOKUP($H46,Data!$C$6:$Y$29,19,FALSE))</f>
        <v>852</v>
      </c>
      <c r="AB46" s="2">
        <f>IF($H46="","",VLOOKUP($H46,Data!$C$6:$Y$29,20,FALSE))</f>
        <v>1030</v>
      </c>
      <c r="AC46" s="2">
        <f>IF($H46="","",VLOOKUP($H46,Data!$C$6:$Y$29,21,FALSE))</f>
        <v>400</v>
      </c>
      <c r="AD46" s="2">
        <f>IF($H46="","",VLOOKUP($H46,Data!$C$6:$Y$29,22,FALSE))</f>
        <v>50</v>
      </c>
      <c r="AE46" s="3">
        <f>IF($H46="","",VLOOKUP($H46,Data!$C$6:$Y$29,23,FALSE))</f>
        <v>92</v>
      </c>
      <c r="AG46" s="76" t="str">
        <f>IF($E46="","",IF($C46="DUCTED",VLOOKUP($E46,'DX-Data'!$D$5:$J$11,7,TRUE),IF($C46="DECORATIVE",VLOOKUP($E46,'DX-Data'!$D$19:$J$23,7,TRUE),IF($C46="PACKAGED",VLOOKUP($E46,'DX-Data'!$D$24:$J$30,7,TRUE),IF($C46="DUCTED-INV",VLOOKUP($E46,'DX-Data'!$D$12:$J$18,7,TRUE),"CHOOSE AC TYPE")))))</f>
        <v>CHOOSE MANUALLY</v>
      </c>
      <c r="AH46" s="76" t="str">
        <f>IF($F$9=TRUE,IF($C46="DUCTED",VLOOKUP($F46,'DX-Data'!$F$5:$J$11,5,TRUE),IF($C46="DECORATIVE",VLOOKUP($F46,'DX-Data'!$F$19:$J$23,5,TRUE),IF($C46="PACKAGED",VLOOKUP($F46,'DX-Data'!$F$24:$J$30,5,TRUE),IF($C46="DUCTED-INV",VLOOKUP($F46,'DX-Data'!$F$12:$J$18,5,TRUE),"CHOOSE AC TYPE")))),"NO SELECTION")</f>
        <v>CHOOSE MANUALLY</v>
      </c>
      <c r="AI46" s="76" t="str">
        <f>IF($G$9=TRUE,IF($C46="DUCTED",VLOOKUP($G46,'DX-Data'!$H$5:$J$11,3,TRUE),IF($C46="DECORATIVE",VLOOKUP($G46,'DX-Data'!$H$19:$J$23,3,TRUE),IF($C46="PACKAGED",VLOOKUP($G46,'DX-Data'!$H$24:$J$30,3,TRUE),IF($C46="DUCTED-INV",VLOOKUP($G46,'DX-Data'!$H$12:$J$18,3,TRUE),"CHOOSE AC TYPE")))),"NO SELECTION")</f>
        <v>NO SELECTION</v>
      </c>
      <c r="AJ46" s="77">
        <f>IF($E46="","",IF($C46="DUCTED",VLOOKUP($E46,'DX-Data'!$D$5:$J$11,6,TRUE),IF($C46="DECORATIVE",VLOOKUP($E46,'DX-Data'!$D$19:$J$23,6,TRUE),IF($C46="PACKAGED",VLOOKUP($E46,'DX-Data'!$D$24:$J$30,6,TRUE),IF($C46="DUCTED-INV",VLOOKUP($E46,'DX-Data'!$D$12:$J$18,6,TRUE),0)))))</f>
        <v>7</v>
      </c>
      <c r="AK46" s="77">
        <f>IF($F$9=TRUE,IF($C46="DUCTED",VLOOKUP($F46,'DX-Data'!$F$5:$J$11,4,TRUE),IF($C46="DECORATIVE",VLOOKUP($F46,'DX-Data'!$F$19:$J$23,4,TRUE),IF($C46="PACKAGED",VLOOKUP($F46,'DX-Data'!$F$24:$J$30,4,TRUE),IF($C46="DUCTED-INV",VLOOKUP($F46,'DX-Data'!$F$12:$J$18,4,TRUE),"CHOOSE AC TYPE")))),0)</f>
        <v>7</v>
      </c>
      <c r="AL46" s="77">
        <f>IF($G$9=TRUE,IF($C46="DUCTED",VLOOKUP($G46,'DX-Data'!$H$5:$J$11,2,TRUE),IF($C46="DECORATIVE",VLOOKUP($G46,'DX-Data'!$H$19:$J$23,2,TRUE),IF($C46="PACKAGED",VLOOKUP($G46,'DX-Data'!$H$24:$J$30,2,TRUE),IF($C46="DUCTED-INV",VLOOKUP($G46,'DX-Data'!$H$12:$J$18,2,TRUE),"CHOOSE AC TYPE")))),0)</f>
        <v>0</v>
      </c>
      <c r="AM46" s="77">
        <f t="shared" si="5"/>
        <v>7</v>
      </c>
      <c r="AN46" s="76" t="str">
        <f>IF(E46="","",VLOOKUP($AM46,'DX-Data'!$I$5:$J$31,2,FALSE))</f>
        <v>CHOOSE MANUALLY</v>
      </c>
      <c r="AO46" s="77">
        <f t="shared" si="6"/>
        <v>1</v>
      </c>
    </row>
    <row r="47" spans="2:41" x14ac:dyDescent="0.3">
      <c r="B47" s="84"/>
      <c r="C47" s="26"/>
      <c r="D47" s="27"/>
      <c r="E47" s="26"/>
      <c r="F47" s="26"/>
      <c r="G47" s="82"/>
      <c r="H47" s="74"/>
      <c r="I47" s="2"/>
      <c r="J47" s="2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3"/>
      <c r="AG47" s="76"/>
      <c r="AH47" s="76"/>
      <c r="AI47" s="76"/>
      <c r="AJ47" s="77"/>
      <c r="AK47" s="77"/>
      <c r="AL47" s="77"/>
      <c r="AM47" s="77"/>
      <c r="AN47" s="76"/>
      <c r="AO47" s="77"/>
    </row>
    <row r="48" spans="2:41" x14ac:dyDescent="0.3">
      <c r="B48" s="71" t="s">
        <v>128</v>
      </c>
      <c r="C48" s="26" t="s">
        <v>38</v>
      </c>
      <c r="D48" s="27" t="s">
        <v>190</v>
      </c>
      <c r="E48" s="26">
        <v>8.1</v>
      </c>
      <c r="F48" s="26">
        <v>6.8</v>
      </c>
      <c r="G48" s="82">
        <v>566</v>
      </c>
      <c r="H48" s="74" t="str">
        <f t="shared" si="7"/>
        <v>FDMRN36AVKU - RR36AVKU</v>
      </c>
      <c r="I48" s="2">
        <f t="shared" si="8"/>
        <v>1</v>
      </c>
      <c r="J48" s="21">
        <f>IF($H48="","",VLOOKUP($H48,Data!$C$6:$Y$29,2,FALSE))</f>
        <v>3</v>
      </c>
      <c r="K48" s="2" t="str">
        <f>IF($H48="","",VLOOKUP($H48,Data!$C$6:$Y$29,3,FALSE))</f>
        <v>Non-Inverter</v>
      </c>
      <c r="L48" s="2" t="str">
        <f>IF($H48="","",VLOOKUP($H48,Data!$C$6:$Y$29,4,FALSE))</f>
        <v>R-410A</v>
      </c>
      <c r="M48" s="2" t="str">
        <f>IF($H48="","",VLOOKUP($H48,Data!$C$6:$Y$29,5,FALSE))</f>
        <v>24/16</v>
      </c>
      <c r="N48" s="2">
        <f>IF($H48="","",VLOOKUP($H48,Data!$C$6:$Y$29,6,FALSE))</f>
        <v>46</v>
      </c>
      <c r="O48" s="2">
        <f>IF($H48="","",VLOOKUP($H48,Data!$C$6:$Y$29,7,FALSE))</f>
        <v>8.42</v>
      </c>
      <c r="P48" s="2">
        <f>IF($H48="","",VLOOKUP($H48,Data!$C$6:$Y$29,8,FALSE))</f>
        <v>8.18</v>
      </c>
      <c r="Q48" s="2">
        <f>IF($H48="","",VLOOKUP($H48,Data!$C$6:$Y$29,9,FALSE))</f>
        <v>650</v>
      </c>
      <c r="R48" s="2" t="str">
        <f>IF($H48="","",VLOOKUP($H48,Data!$C$6:$Y$29,10,FALSE))</f>
        <v>MEDIUM</v>
      </c>
      <c r="S48" s="2">
        <f>IF($H48="","",VLOOKUP($H48,Data!$C$6:$Y$29,11,FALSE))</f>
        <v>3.39</v>
      </c>
      <c r="T48" s="2">
        <f>IF($H48="","",VLOOKUP($H48,Data!$C$6:$Y$29,12,FALSE))</f>
        <v>3.55</v>
      </c>
      <c r="U48" s="2">
        <f>IF($H48="","",VLOOKUP($H48,Data!$C$6:$Y$29,13,FALSE))</f>
        <v>3.56</v>
      </c>
      <c r="V48" s="2">
        <f>IF($H48="","",VLOOKUP($H48,Data!$C$6:$Y$29,14,FALSE))</f>
        <v>50</v>
      </c>
      <c r="W48" s="2" t="str">
        <f>IF($H48="","",VLOOKUP($H48,Data!$C$6:$Y$29,15,FALSE))</f>
        <v>220-240/1/50</v>
      </c>
      <c r="X48" s="2">
        <f>IF($H48="","",VLOOKUP($H48,Data!$C$6:$Y$29,16,FALSE))</f>
        <v>378</v>
      </c>
      <c r="Y48" s="2">
        <f>IF($H48="","",VLOOKUP($H48,Data!$C$6:$Y$29,17,FALSE))</f>
        <v>1369</v>
      </c>
      <c r="Z48" s="2">
        <f>IF($H48="","",VLOOKUP($H48,Data!$C$6:$Y$29,18,FALSE))</f>
        <v>541</v>
      </c>
      <c r="AA48" s="2">
        <f>IF($H48="","",VLOOKUP($H48,Data!$C$6:$Y$29,19,FALSE))</f>
        <v>852</v>
      </c>
      <c r="AB48" s="2">
        <f>IF($H48="","",VLOOKUP($H48,Data!$C$6:$Y$29,20,FALSE))</f>
        <v>1030</v>
      </c>
      <c r="AC48" s="2">
        <f>IF($H48="","",VLOOKUP($H48,Data!$C$6:$Y$29,21,FALSE))</f>
        <v>400</v>
      </c>
      <c r="AD48" s="2">
        <f>IF($H48="","",VLOOKUP($H48,Data!$C$6:$Y$29,22,FALSE))</f>
        <v>50</v>
      </c>
      <c r="AE48" s="3">
        <f>IF($H48="","",VLOOKUP($H48,Data!$C$6:$Y$29,23,FALSE))</f>
        <v>92</v>
      </c>
      <c r="AG48" s="76" t="str">
        <f>IF($E48="","",IF($C48="DUCTED",VLOOKUP($E48,'DX-Data'!$D$5:$J$11,7,TRUE),IF($C48="DECORATIVE",VLOOKUP($E48,'DX-Data'!$D$19:$J$23,7,TRUE),IF($C48="PACKAGED",VLOOKUP($E48,'DX-Data'!$D$24:$J$30,7,TRUE),IF($C48="DUCTED-INV",VLOOKUP($E48,'DX-Data'!$D$12:$J$18,7,TRUE),"CHOOSE AC TYPE")))))</f>
        <v>FDMRN36AVKU - RR36AVKU</v>
      </c>
      <c r="AH48" s="76" t="str">
        <f>IF($F$9=TRUE,IF($C48="DUCTED",VLOOKUP($F48,'DX-Data'!$F$5:$J$11,5,TRUE),IF($C48="DECORATIVE",VLOOKUP($F48,'DX-Data'!$F$19:$J$23,5,TRUE),IF($C48="PACKAGED",VLOOKUP($F48,'DX-Data'!$F$24:$J$30,5,TRUE),IF($C48="DUCTED-INV",VLOOKUP($F48,'DX-Data'!$F$12:$J$18,5,TRUE),"CHOOSE AC TYPE")))),"NO SELECTION")</f>
        <v>FDMRN36AVKU - RR36AVKU</v>
      </c>
      <c r="AI48" s="76" t="str">
        <f>IF($G$9=TRUE,IF($C48="DUCTED",VLOOKUP($G48,'DX-Data'!$H$5:$J$11,3,TRUE),IF($C48="DECORATIVE",VLOOKUP($G48,'DX-Data'!$H$19:$J$23,3,TRUE),IF($C48="PACKAGED",VLOOKUP($G48,'DX-Data'!$H$24:$J$30,3,TRUE),IF($C48="DUCTED-INV",VLOOKUP($G48,'DX-Data'!$H$12:$J$18,3,TRUE),"CHOOSE AC TYPE")))),"NO SELECTION")</f>
        <v>NO SELECTION</v>
      </c>
      <c r="AJ48" s="77">
        <f>IF($E48="","",IF($C48="DUCTED",VLOOKUP($E48,'DX-Data'!$D$5:$J$11,6,TRUE),IF($C48="DECORATIVE",VLOOKUP($E48,'DX-Data'!$D$19:$J$23,6,TRUE),IF($C48="PACKAGED",VLOOKUP($E48,'DX-Data'!$D$24:$J$30,6,TRUE),IF($C48="DUCTED-INV",VLOOKUP($E48,'DX-Data'!$D$12:$J$18,6,TRUE),0)))))</f>
        <v>4</v>
      </c>
      <c r="AK48" s="77">
        <f>IF($F$9=TRUE,IF($C48="DUCTED",VLOOKUP($F48,'DX-Data'!$F$5:$J$11,4,TRUE),IF($C48="DECORATIVE",VLOOKUP($F48,'DX-Data'!$F$19:$J$23,4,TRUE),IF($C48="PACKAGED",VLOOKUP($F48,'DX-Data'!$F$24:$J$30,4,TRUE),IF($C48="DUCTED-INV",VLOOKUP($F48,'DX-Data'!$F$12:$J$18,4,TRUE),"CHOOSE AC TYPE")))),0)</f>
        <v>4</v>
      </c>
      <c r="AL48" s="77">
        <f>IF($G$9=TRUE,IF($C48="DUCTED",VLOOKUP($G48,'DX-Data'!$H$5:$J$11,2,TRUE),IF($C48="DECORATIVE",VLOOKUP($G48,'DX-Data'!$H$19:$J$23,2,TRUE),IF($C48="PACKAGED",VLOOKUP($G48,'DX-Data'!$H$24:$J$30,2,TRUE),IF($C48="DUCTED-INV",VLOOKUP($G48,'DX-Data'!$H$12:$J$18,2,TRUE),"CHOOSE AC TYPE")))),0)</f>
        <v>0</v>
      </c>
      <c r="AM48" s="77">
        <f t="shared" si="5"/>
        <v>4</v>
      </c>
      <c r="AN48" s="76" t="str">
        <f>IF(E48="","",VLOOKUP($AM48,'DX-Data'!$I$5:$J$31,2,FALSE))</f>
        <v>FDMRN36AVKU - RR36AVKU</v>
      </c>
      <c r="AO48" s="77">
        <f t="shared" si="6"/>
        <v>1</v>
      </c>
    </row>
    <row r="49" spans="2:41" x14ac:dyDescent="0.3">
      <c r="B49" s="71" t="s">
        <v>129</v>
      </c>
      <c r="C49" s="26" t="s">
        <v>38</v>
      </c>
      <c r="D49" s="27" t="s">
        <v>191</v>
      </c>
      <c r="E49" s="26">
        <v>7.1</v>
      </c>
      <c r="F49" s="26">
        <v>5.6</v>
      </c>
      <c r="G49" s="82">
        <v>458</v>
      </c>
      <c r="H49" s="74" t="str">
        <f t="shared" si="7"/>
        <v>FDMRN36AVKU - RR36AVKU</v>
      </c>
      <c r="I49" s="2">
        <f t="shared" si="8"/>
        <v>1</v>
      </c>
      <c r="J49" s="21">
        <f>IF($H49="","",VLOOKUP($H49,Data!$C$6:$Y$29,2,FALSE))</f>
        <v>3</v>
      </c>
      <c r="K49" s="2" t="str">
        <f>IF($H49="","",VLOOKUP($H49,Data!$C$6:$Y$29,3,FALSE))</f>
        <v>Non-Inverter</v>
      </c>
      <c r="L49" s="2" t="str">
        <f>IF($H49="","",VLOOKUP($H49,Data!$C$6:$Y$29,4,FALSE))</f>
        <v>R-410A</v>
      </c>
      <c r="M49" s="2" t="str">
        <f>IF($H49="","",VLOOKUP($H49,Data!$C$6:$Y$29,5,FALSE))</f>
        <v>24/16</v>
      </c>
      <c r="N49" s="2">
        <f>IF($H49="","",VLOOKUP($H49,Data!$C$6:$Y$29,6,FALSE))</f>
        <v>46</v>
      </c>
      <c r="O49" s="2">
        <f>IF($H49="","",VLOOKUP($H49,Data!$C$6:$Y$29,7,FALSE))</f>
        <v>8.42</v>
      </c>
      <c r="P49" s="2">
        <f>IF($H49="","",VLOOKUP($H49,Data!$C$6:$Y$29,8,FALSE))</f>
        <v>8.18</v>
      </c>
      <c r="Q49" s="2">
        <f>IF($H49="","",VLOOKUP($H49,Data!$C$6:$Y$29,9,FALSE))</f>
        <v>650</v>
      </c>
      <c r="R49" s="2" t="str">
        <f>IF($H49="","",VLOOKUP($H49,Data!$C$6:$Y$29,10,FALSE))</f>
        <v>MEDIUM</v>
      </c>
      <c r="S49" s="2">
        <f>IF($H49="","",VLOOKUP($H49,Data!$C$6:$Y$29,11,FALSE))</f>
        <v>3.39</v>
      </c>
      <c r="T49" s="2">
        <f>IF($H49="","",VLOOKUP($H49,Data!$C$6:$Y$29,12,FALSE))</f>
        <v>3.55</v>
      </c>
      <c r="U49" s="2">
        <f>IF($H49="","",VLOOKUP($H49,Data!$C$6:$Y$29,13,FALSE))</f>
        <v>3.56</v>
      </c>
      <c r="V49" s="2">
        <f>IF($H49="","",VLOOKUP($H49,Data!$C$6:$Y$29,14,FALSE))</f>
        <v>50</v>
      </c>
      <c r="W49" s="2" t="str">
        <f>IF($H49="","",VLOOKUP($H49,Data!$C$6:$Y$29,15,FALSE))</f>
        <v>220-240/1/50</v>
      </c>
      <c r="X49" s="2">
        <f>IF($H49="","",VLOOKUP($H49,Data!$C$6:$Y$29,16,FALSE))</f>
        <v>378</v>
      </c>
      <c r="Y49" s="2">
        <f>IF($H49="","",VLOOKUP($H49,Data!$C$6:$Y$29,17,FALSE))</f>
        <v>1369</v>
      </c>
      <c r="Z49" s="2">
        <f>IF($H49="","",VLOOKUP($H49,Data!$C$6:$Y$29,18,FALSE))</f>
        <v>541</v>
      </c>
      <c r="AA49" s="2">
        <f>IF($H49="","",VLOOKUP($H49,Data!$C$6:$Y$29,19,FALSE))</f>
        <v>852</v>
      </c>
      <c r="AB49" s="2">
        <f>IF($H49="","",VLOOKUP($H49,Data!$C$6:$Y$29,20,FALSE))</f>
        <v>1030</v>
      </c>
      <c r="AC49" s="2">
        <f>IF($H49="","",VLOOKUP($H49,Data!$C$6:$Y$29,21,FALSE))</f>
        <v>400</v>
      </c>
      <c r="AD49" s="2">
        <f>IF($H49="","",VLOOKUP($H49,Data!$C$6:$Y$29,22,FALSE))</f>
        <v>50</v>
      </c>
      <c r="AE49" s="3">
        <f>IF($H49="","",VLOOKUP($H49,Data!$C$6:$Y$29,23,FALSE))</f>
        <v>92</v>
      </c>
      <c r="AG49" s="76" t="str">
        <f>IF($E49="","",IF($C49="DUCTED",VLOOKUP($E49,'DX-Data'!$D$5:$J$11,7,TRUE),IF($C49="DECORATIVE",VLOOKUP($E49,'DX-Data'!$D$19:$J$23,7,TRUE),IF($C49="PACKAGED",VLOOKUP($E49,'DX-Data'!$D$24:$J$30,7,TRUE),IF($C49="DUCTED-INV",VLOOKUP($E49,'DX-Data'!$D$12:$J$18,7,TRUE),"CHOOSE AC TYPE")))))</f>
        <v>FDMRN36AVKU - RR36AVKU</v>
      </c>
      <c r="AH49" s="76" t="str">
        <f>IF($F$9=TRUE,IF($C49="DUCTED",VLOOKUP($F49,'DX-Data'!$F$5:$J$11,5,TRUE),IF($C49="DECORATIVE",VLOOKUP($F49,'DX-Data'!$F$19:$J$23,5,TRUE),IF($C49="PACKAGED",VLOOKUP($F49,'DX-Data'!$F$24:$J$30,5,TRUE),IF($C49="DUCTED-INV",VLOOKUP($F49,'DX-Data'!$F$12:$J$18,5,TRUE),"CHOOSE AC TYPE")))),"NO SELECTION")</f>
        <v>FDMRN30AVKU - RR30AVKU</v>
      </c>
      <c r="AI49" s="76" t="str">
        <f>IF($G$9=TRUE,IF($C49="DUCTED",VLOOKUP($G49,'DX-Data'!$H$5:$J$11,3,TRUE),IF($C49="DECORATIVE",VLOOKUP($G49,'DX-Data'!$H$19:$J$23,3,TRUE),IF($C49="PACKAGED",VLOOKUP($G49,'DX-Data'!$H$24:$J$30,3,TRUE),IF($C49="DUCTED-INV",VLOOKUP($G49,'DX-Data'!$H$12:$J$18,3,TRUE),"CHOOSE AC TYPE")))),"NO SELECTION")</f>
        <v>NO SELECTION</v>
      </c>
      <c r="AJ49" s="77">
        <f>IF($E49="","",IF($C49="DUCTED",VLOOKUP($E49,'DX-Data'!$D$5:$J$11,6,TRUE),IF($C49="DECORATIVE",VLOOKUP($E49,'DX-Data'!$D$19:$J$23,6,TRUE),IF($C49="PACKAGED",VLOOKUP($E49,'DX-Data'!$D$24:$J$30,6,TRUE),IF($C49="DUCTED-INV",VLOOKUP($E49,'DX-Data'!$D$12:$J$18,6,TRUE),0)))))</f>
        <v>4</v>
      </c>
      <c r="AK49" s="77">
        <f>IF($F$9=TRUE,IF($C49="DUCTED",VLOOKUP($F49,'DX-Data'!$F$5:$J$11,4,TRUE),IF($C49="DECORATIVE",VLOOKUP($F49,'DX-Data'!$F$19:$J$23,4,TRUE),IF($C49="PACKAGED",VLOOKUP($F49,'DX-Data'!$F$24:$J$30,4,TRUE),IF($C49="DUCTED-INV",VLOOKUP($F49,'DX-Data'!$F$12:$J$18,4,TRUE),"CHOOSE AC TYPE")))),0)</f>
        <v>3</v>
      </c>
      <c r="AL49" s="77">
        <f>IF($G$9=TRUE,IF($C49="DUCTED",VLOOKUP($G49,'DX-Data'!$H$5:$J$11,2,TRUE),IF($C49="DECORATIVE",VLOOKUP($G49,'DX-Data'!$H$19:$J$23,2,TRUE),IF($C49="PACKAGED",VLOOKUP($G49,'DX-Data'!$H$24:$J$30,2,TRUE),IF($C49="DUCTED-INV",VLOOKUP($G49,'DX-Data'!$H$12:$J$18,2,TRUE),"CHOOSE AC TYPE")))),0)</f>
        <v>0</v>
      </c>
      <c r="AM49" s="77">
        <f t="shared" si="5"/>
        <v>4</v>
      </c>
      <c r="AN49" s="76" t="str">
        <f>IF(E49="","",VLOOKUP($AM49,'DX-Data'!$I$5:$J$31,2,FALSE))</f>
        <v>FDMRN36AVKU - RR36AVKU</v>
      </c>
      <c r="AO49" s="77">
        <f t="shared" si="6"/>
        <v>1</v>
      </c>
    </row>
    <row r="50" spans="2:41" x14ac:dyDescent="0.3">
      <c r="B50" s="71" t="s">
        <v>130</v>
      </c>
      <c r="C50" s="26" t="s">
        <v>38</v>
      </c>
      <c r="D50" s="27" t="s">
        <v>192</v>
      </c>
      <c r="E50" s="26">
        <v>3.2</v>
      </c>
      <c r="F50" s="26">
        <v>2.5</v>
      </c>
      <c r="G50" s="82">
        <v>204</v>
      </c>
      <c r="H50" s="74" t="str">
        <f t="shared" si="7"/>
        <v>FDMRN20AVKU - RR20AVKU</v>
      </c>
      <c r="I50" s="2">
        <f t="shared" si="8"/>
        <v>1</v>
      </c>
      <c r="J50" s="21">
        <f>IF($H50="","",VLOOKUP($H50,Data!$C$6:$Y$29,2,FALSE))</f>
        <v>1.5</v>
      </c>
      <c r="K50" s="2" t="str">
        <f>IF($H50="","",VLOOKUP($H50,Data!$C$6:$Y$29,3,FALSE))</f>
        <v>Non-Inverter</v>
      </c>
      <c r="L50" s="2" t="str">
        <f>IF($H50="","",VLOOKUP($H50,Data!$C$6:$Y$29,4,FALSE))</f>
        <v>R-410A</v>
      </c>
      <c r="M50" s="2" t="str">
        <f>IF($H50="","",VLOOKUP($H50,Data!$C$6:$Y$29,5,FALSE))</f>
        <v>24/16</v>
      </c>
      <c r="N50" s="2">
        <f>IF($H50="","",VLOOKUP($H50,Data!$C$6:$Y$29,6,FALSE))</f>
        <v>46</v>
      </c>
      <c r="O50" s="2">
        <f>IF($H50="","",VLOOKUP($H50,Data!$C$6:$Y$29,7,FALSE))</f>
        <v>4.24</v>
      </c>
      <c r="P50" s="2">
        <f>IF($H50="","",VLOOKUP($H50,Data!$C$6:$Y$29,8,FALSE))</f>
        <v>4.1100000000000003</v>
      </c>
      <c r="Q50" s="2">
        <f>IF($H50="","",VLOOKUP($H50,Data!$C$6:$Y$29,9,FALSE))</f>
        <v>255</v>
      </c>
      <c r="R50" s="2" t="str">
        <f>IF($H50="","",VLOOKUP($H50,Data!$C$6:$Y$29,10,FALSE))</f>
        <v>MEDIUM</v>
      </c>
      <c r="S50" s="2">
        <f>IF($H50="","",VLOOKUP($H50,Data!$C$6:$Y$29,11,FALSE))</f>
        <v>1.77</v>
      </c>
      <c r="T50" s="2">
        <f>IF($H50="","",VLOOKUP($H50,Data!$C$6:$Y$29,12,FALSE))</f>
        <v>1.8</v>
      </c>
      <c r="U50" s="2">
        <f>IF($H50="","",VLOOKUP($H50,Data!$C$6:$Y$29,13,FALSE))</f>
        <v>3.49</v>
      </c>
      <c r="V50" s="2">
        <f>IF($H50="","",VLOOKUP($H50,Data!$C$6:$Y$29,14,FALSE))</f>
        <v>40</v>
      </c>
      <c r="W50" s="2" t="str">
        <f>IF($H50="","",VLOOKUP($H50,Data!$C$6:$Y$29,15,FALSE))</f>
        <v>220-240/1/50</v>
      </c>
      <c r="X50" s="2">
        <f>IF($H50="","",VLOOKUP($H50,Data!$C$6:$Y$29,16,FALSE))</f>
        <v>261</v>
      </c>
      <c r="Y50" s="2">
        <f>IF($H50="","",VLOOKUP($H50,Data!$C$6:$Y$29,17,FALSE))</f>
        <v>1200</v>
      </c>
      <c r="Z50" s="2">
        <f>IF($H50="","",VLOOKUP($H50,Data!$C$6:$Y$29,18,FALSE))</f>
        <v>448</v>
      </c>
      <c r="AA50" s="2">
        <f>IF($H50="","",VLOOKUP($H50,Data!$C$6:$Y$29,19,FALSE))</f>
        <v>753</v>
      </c>
      <c r="AB50" s="2">
        <f>IF($H50="","",VLOOKUP($H50,Data!$C$6:$Y$29,20,FALSE))</f>
        <v>855</v>
      </c>
      <c r="AC50" s="2">
        <f>IF($H50="","",VLOOKUP($H50,Data!$C$6:$Y$29,21,FALSE))</f>
        <v>328</v>
      </c>
      <c r="AD50" s="2">
        <f>IF($H50="","",VLOOKUP($H50,Data!$C$6:$Y$29,22,FALSE))</f>
        <v>26</v>
      </c>
      <c r="AE50" s="3">
        <f>IF($H50="","",VLOOKUP($H50,Data!$C$6:$Y$29,23,FALSE))</f>
        <v>47</v>
      </c>
      <c r="AG50" s="76" t="str">
        <f>IF($E50="","",IF($C50="DUCTED",VLOOKUP($E50,'DX-Data'!$D$5:$J$11,7,TRUE),IF($C50="DECORATIVE",VLOOKUP($E50,'DX-Data'!$D$19:$J$23,7,TRUE),IF($C50="PACKAGED",VLOOKUP($E50,'DX-Data'!$D$24:$J$30,7,TRUE),IF($C50="DUCTED-INV",VLOOKUP($E50,'DX-Data'!$D$12:$J$18,7,TRUE),"CHOOSE AC TYPE")))))</f>
        <v>FDMRN20AVKU - RR20AVKU</v>
      </c>
      <c r="AH50" s="76" t="str">
        <f>IF($F$9=TRUE,IF($C50="DUCTED",VLOOKUP($F50,'DX-Data'!$F$5:$J$11,5,TRUE),IF($C50="DECORATIVE",VLOOKUP($F50,'DX-Data'!$F$19:$J$23,5,TRUE),IF($C50="PACKAGED",VLOOKUP($F50,'DX-Data'!$F$24:$J$30,5,TRUE),IF($C50="DUCTED-INV",VLOOKUP($F50,'DX-Data'!$F$12:$J$18,5,TRUE),"CHOOSE AC TYPE")))),"NO SELECTION")</f>
        <v>FDMRN20AVKU - RR20AVKU</v>
      </c>
      <c r="AI50" s="76" t="str">
        <f>IF($G$9=TRUE,IF($C50="DUCTED",VLOOKUP($G50,'DX-Data'!$H$5:$J$11,3,TRUE),IF($C50="DECORATIVE",VLOOKUP($G50,'DX-Data'!$H$19:$J$23,3,TRUE),IF($C50="PACKAGED",VLOOKUP($G50,'DX-Data'!$H$24:$J$30,3,TRUE),IF($C50="DUCTED-INV",VLOOKUP($G50,'DX-Data'!$H$12:$J$18,3,TRUE),"CHOOSE AC TYPE")))),"NO SELECTION")</f>
        <v>NO SELECTION</v>
      </c>
      <c r="AJ50" s="77">
        <f>IF($E50="","",IF($C50="DUCTED",VLOOKUP($E50,'DX-Data'!$D$5:$J$11,6,TRUE),IF($C50="DECORATIVE",VLOOKUP($E50,'DX-Data'!$D$19:$J$23,6,TRUE),IF($C50="PACKAGED",VLOOKUP($E50,'DX-Data'!$D$24:$J$30,6,TRUE),IF($C50="DUCTED-INV",VLOOKUP($E50,'DX-Data'!$D$12:$J$18,6,TRUE),0)))))</f>
        <v>1</v>
      </c>
      <c r="AK50" s="77">
        <f>IF($F$9=TRUE,IF($C50="DUCTED",VLOOKUP($F50,'DX-Data'!$F$5:$J$11,4,TRUE),IF($C50="DECORATIVE",VLOOKUP($F50,'DX-Data'!$F$19:$J$23,4,TRUE),IF($C50="PACKAGED",VLOOKUP($F50,'DX-Data'!$F$24:$J$30,4,TRUE),IF($C50="DUCTED-INV",VLOOKUP($F50,'DX-Data'!$F$12:$J$18,4,TRUE),"CHOOSE AC TYPE")))),0)</f>
        <v>1</v>
      </c>
      <c r="AL50" s="77">
        <f>IF($G$9=TRUE,IF($C50="DUCTED",VLOOKUP($G50,'DX-Data'!$H$5:$J$11,2,TRUE),IF($C50="DECORATIVE",VLOOKUP($G50,'DX-Data'!$H$19:$J$23,2,TRUE),IF($C50="PACKAGED",VLOOKUP($G50,'DX-Data'!$H$24:$J$30,2,TRUE),IF($C50="DUCTED-INV",VLOOKUP($G50,'DX-Data'!$H$12:$J$18,2,TRUE),"CHOOSE AC TYPE")))),0)</f>
        <v>0</v>
      </c>
      <c r="AM50" s="77">
        <f t="shared" si="5"/>
        <v>1</v>
      </c>
      <c r="AN50" s="76" t="str">
        <f>IF(E50="","",VLOOKUP($AM50,'DX-Data'!$I$5:$J$31,2,FALSE))</f>
        <v>FDMRN20AVKU - RR20AVKU</v>
      </c>
      <c r="AO50" s="77">
        <f t="shared" si="6"/>
        <v>1</v>
      </c>
    </row>
    <row r="51" spans="2:41" x14ac:dyDescent="0.3">
      <c r="B51" s="71" t="s">
        <v>131</v>
      </c>
      <c r="C51" s="26" t="s">
        <v>38</v>
      </c>
      <c r="D51" s="27" t="s">
        <v>193</v>
      </c>
      <c r="E51" s="26">
        <v>3.2</v>
      </c>
      <c r="F51" s="26">
        <v>2.5</v>
      </c>
      <c r="G51" s="82">
        <v>204</v>
      </c>
      <c r="H51" s="74" t="str">
        <f t="shared" si="7"/>
        <v>FDMRN20AVKU - RR20AVKU</v>
      </c>
      <c r="I51" s="2">
        <f t="shared" si="8"/>
        <v>1</v>
      </c>
      <c r="J51" s="21">
        <f>IF($H51="","",VLOOKUP($H51,Data!$C$6:$Y$29,2,FALSE))</f>
        <v>1.5</v>
      </c>
      <c r="K51" s="2" t="str">
        <f>IF($H51="","",VLOOKUP($H51,Data!$C$6:$Y$29,3,FALSE))</f>
        <v>Non-Inverter</v>
      </c>
      <c r="L51" s="2" t="str">
        <f>IF($H51="","",VLOOKUP($H51,Data!$C$6:$Y$29,4,FALSE))</f>
        <v>R-410A</v>
      </c>
      <c r="M51" s="2" t="str">
        <f>IF($H51="","",VLOOKUP($H51,Data!$C$6:$Y$29,5,FALSE))</f>
        <v>24/16</v>
      </c>
      <c r="N51" s="2">
        <f>IF($H51="","",VLOOKUP($H51,Data!$C$6:$Y$29,6,FALSE))</f>
        <v>46</v>
      </c>
      <c r="O51" s="2">
        <f>IF($H51="","",VLOOKUP($H51,Data!$C$6:$Y$29,7,FALSE))</f>
        <v>4.24</v>
      </c>
      <c r="P51" s="2">
        <f>IF($H51="","",VLOOKUP($H51,Data!$C$6:$Y$29,8,FALSE))</f>
        <v>4.1100000000000003</v>
      </c>
      <c r="Q51" s="2">
        <f>IF($H51="","",VLOOKUP($H51,Data!$C$6:$Y$29,9,FALSE))</f>
        <v>255</v>
      </c>
      <c r="R51" s="2" t="str">
        <f>IF($H51="","",VLOOKUP($H51,Data!$C$6:$Y$29,10,FALSE))</f>
        <v>MEDIUM</v>
      </c>
      <c r="S51" s="2">
        <f>IF($H51="","",VLOOKUP($H51,Data!$C$6:$Y$29,11,FALSE))</f>
        <v>1.77</v>
      </c>
      <c r="T51" s="2">
        <f>IF($H51="","",VLOOKUP($H51,Data!$C$6:$Y$29,12,FALSE))</f>
        <v>1.8</v>
      </c>
      <c r="U51" s="2">
        <f>IF($H51="","",VLOOKUP($H51,Data!$C$6:$Y$29,13,FALSE))</f>
        <v>3.49</v>
      </c>
      <c r="V51" s="2">
        <f>IF($H51="","",VLOOKUP($H51,Data!$C$6:$Y$29,14,FALSE))</f>
        <v>40</v>
      </c>
      <c r="W51" s="2" t="str">
        <f>IF($H51="","",VLOOKUP($H51,Data!$C$6:$Y$29,15,FALSE))</f>
        <v>220-240/1/50</v>
      </c>
      <c r="X51" s="2">
        <f>IF($H51="","",VLOOKUP($H51,Data!$C$6:$Y$29,16,FALSE))</f>
        <v>261</v>
      </c>
      <c r="Y51" s="2">
        <f>IF($H51="","",VLOOKUP($H51,Data!$C$6:$Y$29,17,FALSE))</f>
        <v>1200</v>
      </c>
      <c r="Z51" s="2">
        <f>IF($H51="","",VLOOKUP($H51,Data!$C$6:$Y$29,18,FALSE))</f>
        <v>448</v>
      </c>
      <c r="AA51" s="2">
        <f>IF($H51="","",VLOOKUP($H51,Data!$C$6:$Y$29,19,FALSE))</f>
        <v>753</v>
      </c>
      <c r="AB51" s="2">
        <f>IF($H51="","",VLOOKUP($H51,Data!$C$6:$Y$29,20,FALSE))</f>
        <v>855</v>
      </c>
      <c r="AC51" s="2">
        <f>IF($H51="","",VLOOKUP($H51,Data!$C$6:$Y$29,21,FALSE))</f>
        <v>328</v>
      </c>
      <c r="AD51" s="2">
        <f>IF($H51="","",VLOOKUP($H51,Data!$C$6:$Y$29,22,FALSE))</f>
        <v>26</v>
      </c>
      <c r="AE51" s="3">
        <f>IF($H51="","",VLOOKUP($H51,Data!$C$6:$Y$29,23,FALSE))</f>
        <v>47</v>
      </c>
      <c r="AG51" s="76" t="str">
        <f>IF($E51="","",IF($C51="DUCTED",VLOOKUP($E51,'DX-Data'!$D$5:$J$11,7,TRUE),IF($C51="DECORATIVE",VLOOKUP($E51,'DX-Data'!$D$19:$J$23,7,TRUE),IF($C51="PACKAGED",VLOOKUP($E51,'DX-Data'!$D$24:$J$30,7,TRUE),IF($C51="DUCTED-INV",VLOOKUP($E51,'DX-Data'!$D$12:$J$18,7,TRUE),"CHOOSE AC TYPE")))))</f>
        <v>FDMRN20AVKU - RR20AVKU</v>
      </c>
      <c r="AH51" s="76" t="str">
        <f>IF($F$9=TRUE,IF($C51="DUCTED",VLOOKUP($F51,'DX-Data'!$F$5:$J$11,5,TRUE),IF($C51="DECORATIVE",VLOOKUP($F51,'DX-Data'!$F$19:$J$23,5,TRUE),IF($C51="PACKAGED",VLOOKUP($F51,'DX-Data'!$F$24:$J$30,5,TRUE),IF($C51="DUCTED-INV",VLOOKUP($F51,'DX-Data'!$F$12:$J$18,5,TRUE),"CHOOSE AC TYPE")))),"NO SELECTION")</f>
        <v>FDMRN20AVKU - RR20AVKU</v>
      </c>
      <c r="AI51" s="76" t="str">
        <f>IF($G$9=TRUE,IF($C51="DUCTED",VLOOKUP($G51,'DX-Data'!$H$5:$J$11,3,TRUE),IF($C51="DECORATIVE",VLOOKUP($G51,'DX-Data'!$H$19:$J$23,3,TRUE),IF($C51="PACKAGED",VLOOKUP($G51,'DX-Data'!$H$24:$J$30,3,TRUE),IF($C51="DUCTED-INV",VLOOKUP($G51,'DX-Data'!$H$12:$J$18,3,TRUE),"CHOOSE AC TYPE")))),"NO SELECTION")</f>
        <v>NO SELECTION</v>
      </c>
      <c r="AJ51" s="77">
        <f>IF($E51="","",IF($C51="DUCTED",VLOOKUP($E51,'DX-Data'!$D$5:$J$11,6,TRUE),IF($C51="DECORATIVE",VLOOKUP($E51,'DX-Data'!$D$19:$J$23,6,TRUE),IF($C51="PACKAGED",VLOOKUP($E51,'DX-Data'!$D$24:$J$30,6,TRUE),IF($C51="DUCTED-INV",VLOOKUP($E51,'DX-Data'!$D$12:$J$18,6,TRUE),0)))))</f>
        <v>1</v>
      </c>
      <c r="AK51" s="77">
        <f>IF($F$9=TRUE,IF($C51="DUCTED",VLOOKUP($F51,'DX-Data'!$F$5:$J$11,4,TRUE),IF($C51="DECORATIVE",VLOOKUP($F51,'DX-Data'!$F$19:$J$23,4,TRUE),IF($C51="PACKAGED",VLOOKUP($F51,'DX-Data'!$F$24:$J$30,4,TRUE),IF($C51="DUCTED-INV",VLOOKUP($F51,'DX-Data'!$F$12:$J$18,4,TRUE),"CHOOSE AC TYPE")))),0)</f>
        <v>1</v>
      </c>
      <c r="AL51" s="77">
        <f>IF($G$9=TRUE,IF($C51="DUCTED",VLOOKUP($G51,'DX-Data'!$H$5:$J$11,2,TRUE),IF($C51="DECORATIVE",VLOOKUP($G51,'DX-Data'!$H$19:$J$23,2,TRUE),IF($C51="PACKAGED",VLOOKUP($G51,'DX-Data'!$H$24:$J$30,2,TRUE),IF($C51="DUCTED-INV",VLOOKUP($G51,'DX-Data'!$H$12:$J$18,2,TRUE),"CHOOSE AC TYPE")))),0)</f>
        <v>0</v>
      </c>
      <c r="AM51" s="77">
        <f t="shared" si="5"/>
        <v>1</v>
      </c>
      <c r="AN51" s="76" t="str">
        <f>IF(E51="","",VLOOKUP($AM51,'DX-Data'!$I$5:$J$31,2,FALSE))</f>
        <v>FDMRN20AVKU - RR20AVKU</v>
      </c>
      <c r="AO51" s="77">
        <f t="shared" si="6"/>
        <v>1</v>
      </c>
    </row>
    <row r="52" spans="2:41" x14ac:dyDescent="0.3">
      <c r="B52" s="71" t="s">
        <v>132</v>
      </c>
      <c r="C52" s="26" t="s">
        <v>38</v>
      </c>
      <c r="D52" s="27" t="s">
        <v>194</v>
      </c>
      <c r="E52" s="26">
        <v>3.2</v>
      </c>
      <c r="F52" s="26">
        <v>2.5</v>
      </c>
      <c r="G52" s="82">
        <v>204</v>
      </c>
      <c r="H52" s="74" t="str">
        <f t="shared" si="7"/>
        <v>FDMRN20AVKU - RR20AVKU</v>
      </c>
      <c r="I52" s="2">
        <f t="shared" si="8"/>
        <v>1</v>
      </c>
      <c r="J52" s="21">
        <f>IF($H52="","",VLOOKUP($H52,Data!$C$6:$Y$29,2,FALSE))</f>
        <v>1.5</v>
      </c>
      <c r="K52" s="2" t="str">
        <f>IF($H52="","",VLOOKUP($H52,Data!$C$6:$Y$29,3,FALSE))</f>
        <v>Non-Inverter</v>
      </c>
      <c r="L52" s="2" t="str">
        <f>IF($H52="","",VLOOKUP($H52,Data!$C$6:$Y$29,4,FALSE))</f>
        <v>R-410A</v>
      </c>
      <c r="M52" s="2" t="str">
        <f>IF($H52="","",VLOOKUP($H52,Data!$C$6:$Y$29,5,FALSE))</f>
        <v>24/16</v>
      </c>
      <c r="N52" s="2">
        <f>IF($H52="","",VLOOKUP($H52,Data!$C$6:$Y$29,6,FALSE))</f>
        <v>46</v>
      </c>
      <c r="O52" s="2">
        <f>IF($H52="","",VLOOKUP($H52,Data!$C$6:$Y$29,7,FALSE))</f>
        <v>4.24</v>
      </c>
      <c r="P52" s="2">
        <f>IF($H52="","",VLOOKUP($H52,Data!$C$6:$Y$29,8,FALSE))</f>
        <v>4.1100000000000003</v>
      </c>
      <c r="Q52" s="2">
        <f>IF($H52="","",VLOOKUP($H52,Data!$C$6:$Y$29,9,FALSE))</f>
        <v>255</v>
      </c>
      <c r="R52" s="2" t="str">
        <f>IF($H52="","",VLOOKUP($H52,Data!$C$6:$Y$29,10,FALSE))</f>
        <v>MEDIUM</v>
      </c>
      <c r="S52" s="2">
        <f>IF($H52="","",VLOOKUP($H52,Data!$C$6:$Y$29,11,FALSE))</f>
        <v>1.77</v>
      </c>
      <c r="T52" s="2">
        <f>IF($H52="","",VLOOKUP($H52,Data!$C$6:$Y$29,12,FALSE))</f>
        <v>1.8</v>
      </c>
      <c r="U52" s="2">
        <f>IF($H52="","",VLOOKUP($H52,Data!$C$6:$Y$29,13,FALSE))</f>
        <v>3.49</v>
      </c>
      <c r="V52" s="2">
        <f>IF($H52="","",VLOOKUP($H52,Data!$C$6:$Y$29,14,FALSE))</f>
        <v>40</v>
      </c>
      <c r="W52" s="2" t="str">
        <f>IF($H52="","",VLOOKUP($H52,Data!$C$6:$Y$29,15,FALSE))</f>
        <v>220-240/1/50</v>
      </c>
      <c r="X52" s="2">
        <f>IF($H52="","",VLOOKUP($H52,Data!$C$6:$Y$29,16,FALSE))</f>
        <v>261</v>
      </c>
      <c r="Y52" s="2">
        <f>IF($H52="","",VLOOKUP($H52,Data!$C$6:$Y$29,17,FALSE))</f>
        <v>1200</v>
      </c>
      <c r="Z52" s="2">
        <f>IF($H52="","",VLOOKUP($H52,Data!$C$6:$Y$29,18,FALSE))</f>
        <v>448</v>
      </c>
      <c r="AA52" s="2">
        <f>IF($H52="","",VLOOKUP($H52,Data!$C$6:$Y$29,19,FALSE))</f>
        <v>753</v>
      </c>
      <c r="AB52" s="2">
        <f>IF($H52="","",VLOOKUP($H52,Data!$C$6:$Y$29,20,FALSE))</f>
        <v>855</v>
      </c>
      <c r="AC52" s="2">
        <f>IF($H52="","",VLOOKUP($H52,Data!$C$6:$Y$29,21,FALSE))</f>
        <v>328</v>
      </c>
      <c r="AD52" s="2">
        <f>IF($H52="","",VLOOKUP($H52,Data!$C$6:$Y$29,22,FALSE))</f>
        <v>26</v>
      </c>
      <c r="AE52" s="3">
        <f>IF($H52="","",VLOOKUP($H52,Data!$C$6:$Y$29,23,FALSE))</f>
        <v>47</v>
      </c>
      <c r="AG52" s="76" t="str">
        <f>IF($E52="","",IF($C52="DUCTED",VLOOKUP($E52,'DX-Data'!$D$5:$J$11,7,TRUE),IF($C52="DECORATIVE",VLOOKUP($E52,'DX-Data'!$D$19:$J$23,7,TRUE),IF($C52="PACKAGED",VLOOKUP($E52,'DX-Data'!$D$24:$J$30,7,TRUE),IF($C52="DUCTED-INV",VLOOKUP($E52,'DX-Data'!$D$12:$J$18,7,TRUE),"CHOOSE AC TYPE")))))</f>
        <v>FDMRN20AVKU - RR20AVKU</v>
      </c>
      <c r="AH52" s="76" t="str">
        <f>IF($F$9=TRUE,IF($C52="DUCTED",VLOOKUP($F52,'DX-Data'!$F$5:$J$11,5,TRUE),IF($C52="DECORATIVE",VLOOKUP($F52,'DX-Data'!$F$19:$J$23,5,TRUE),IF($C52="PACKAGED",VLOOKUP($F52,'DX-Data'!$F$24:$J$30,5,TRUE),IF($C52="DUCTED-INV",VLOOKUP($F52,'DX-Data'!$F$12:$J$18,5,TRUE),"CHOOSE AC TYPE")))),"NO SELECTION")</f>
        <v>FDMRN20AVKU - RR20AVKU</v>
      </c>
      <c r="AI52" s="76" t="str">
        <f>IF($G$9=TRUE,IF($C52="DUCTED",VLOOKUP($G52,'DX-Data'!$H$5:$J$11,3,TRUE),IF($C52="DECORATIVE",VLOOKUP($G52,'DX-Data'!$H$19:$J$23,3,TRUE),IF($C52="PACKAGED",VLOOKUP($G52,'DX-Data'!$H$24:$J$30,3,TRUE),IF($C52="DUCTED-INV",VLOOKUP($G52,'DX-Data'!$H$12:$J$18,3,TRUE),"CHOOSE AC TYPE")))),"NO SELECTION")</f>
        <v>NO SELECTION</v>
      </c>
      <c r="AJ52" s="77">
        <f>IF($E52="","",IF($C52="DUCTED",VLOOKUP($E52,'DX-Data'!$D$5:$J$11,6,TRUE),IF($C52="DECORATIVE",VLOOKUP($E52,'DX-Data'!$D$19:$J$23,6,TRUE),IF($C52="PACKAGED",VLOOKUP($E52,'DX-Data'!$D$24:$J$30,6,TRUE),IF($C52="DUCTED-INV",VLOOKUP($E52,'DX-Data'!$D$12:$J$18,6,TRUE),0)))))</f>
        <v>1</v>
      </c>
      <c r="AK52" s="77">
        <f>IF($F$9=TRUE,IF($C52="DUCTED",VLOOKUP($F52,'DX-Data'!$F$5:$J$11,4,TRUE),IF($C52="DECORATIVE",VLOOKUP($F52,'DX-Data'!$F$19:$J$23,4,TRUE),IF($C52="PACKAGED",VLOOKUP($F52,'DX-Data'!$F$24:$J$30,4,TRUE),IF($C52="DUCTED-INV",VLOOKUP($F52,'DX-Data'!$F$12:$J$18,4,TRUE),"CHOOSE AC TYPE")))),0)</f>
        <v>1</v>
      </c>
      <c r="AL52" s="77">
        <f>IF($G$9=TRUE,IF($C52="DUCTED",VLOOKUP($G52,'DX-Data'!$H$5:$J$11,2,TRUE),IF($C52="DECORATIVE",VLOOKUP($G52,'DX-Data'!$H$19:$J$23,2,TRUE),IF($C52="PACKAGED",VLOOKUP($G52,'DX-Data'!$H$24:$J$30,2,TRUE),IF($C52="DUCTED-INV",VLOOKUP($G52,'DX-Data'!$H$12:$J$18,2,TRUE),"CHOOSE AC TYPE")))),0)</f>
        <v>0</v>
      </c>
      <c r="AM52" s="77">
        <f t="shared" si="5"/>
        <v>1</v>
      </c>
      <c r="AN52" s="76" t="str">
        <f>IF(E52="","",VLOOKUP($AM52,'DX-Data'!$I$5:$J$31,2,FALSE))</f>
        <v>FDMRN20AVKU - RR20AVKU</v>
      </c>
      <c r="AO52" s="77">
        <f t="shared" si="6"/>
        <v>1</v>
      </c>
    </row>
    <row r="53" spans="2:41" x14ac:dyDescent="0.3">
      <c r="B53" s="71" t="s">
        <v>133</v>
      </c>
      <c r="C53" s="26" t="s">
        <v>38</v>
      </c>
      <c r="D53" s="27" t="s">
        <v>195</v>
      </c>
      <c r="E53" s="26">
        <v>7.5</v>
      </c>
      <c r="F53" s="26">
        <v>6</v>
      </c>
      <c r="G53" s="82">
        <v>491</v>
      </c>
      <c r="H53" s="74" t="str">
        <f t="shared" si="7"/>
        <v>FDMRN36AVKU - RR36AVKU</v>
      </c>
      <c r="I53" s="2">
        <f t="shared" si="8"/>
        <v>1</v>
      </c>
      <c r="J53" s="21">
        <f>IF($H53="","",VLOOKUP($H53,Data!$C$6:$Y$29,2,FALSE))</f>
        <v>3</v>
      </c>
      <c r="K53" s="2" t="str">
        <f>IF($H53="","",VLOOKUP($H53,Data!$C$6:$Y$29,3,FALSE))</f>
        <v>Non-Inverter</v>
      </c>
      <c r="L53" s="2" t="str">
        <f>IF($H53="","",VLOOKUP($H53,Data!$C$6:$Y$29,4,FALSE))</f>
        <v>R-410A</v>
      </c>
      <c r="M53" s="2" t="str">
        <f>IF($H53="","",VLOOKUP($H53,Data!$C$6:$Y$29,5,FALSE))</f>
        <v>24/16</v>
      </c>
      <c r="N53" s="2">
        <f>IF($H53="","",VLOOKUP($H53,Data!$C$6:$Y$29,6,FALSE))</f>
        <v>46</v>
      </c>
      <c r="O53" s="2">
        <f>IF($H53="","",VLOOKUP($H53,Data!$C$6:$Y$29,7,FALSE))</f>
        <v>8.42</v>
      </c>
      <c r="P53" s="2">
        <f>IF($H53="","",VLOOKUP($H53,Data!$C$6:$Y$29,8,FALSE))</f>
        <v>8.18</v>
      </c>
      <c r="Q53" s="2">
        <f>IF($H53="","",VLOOKUP($H53,Data!$C$6:$Y$29,9,FALSE))</f>
        <v>650</v>
      </c>
      <c r="R53" s="2" t="str">
        <f>IF($H53="","",VLOOKUP($H53,Data!$C$6:$Y$29,10,FALSE))</f>
        <v>MEDIUM</v>
      </c>
      <c r="S53" s="2">
        <f>IF($H53="","",VLOOKUP($H53,Data!$C$6:$Y$29,11,FALSE))</f>
        <v>3.39</v>
      </c>
      <c r="T53" s="2">
        <f>IF($H53="","",VLOOKUP($H53,Data!$C$6:$Y$29,12,FALSE))</f>
        <v>3.55</v>
      </c>
      <c r="U53" s="2">
        <f>IF($H53="","",VLOOKUP($H53,Data!$C$6:$Y$29,13,FALSE))</f>
        <v>3.56</v>
      </c>
      <c r="V53" s="2">
        <f>IF($H53="","",VLOOKUP($H53,Data!$C$6:$Y$29,14,FALSE))</f>
        <v>50</v>
      </c>
      <c r="W53" s="2" t="str">
        <f>IF($H53="","",VLOOKUP($H53,Data!$C$6:$Y$29,15,FALSE))</f>
        <v>220-240/1/50</v>
      </c>
      <c r="X53" s="2">
        <f>IF($H53="","",VLOOKUP($H53,Data!$C$6:$Y$29,16,FALSE))</f>
        <v>378</v>
      </c>
      <c r="Y53" s="2">
        <f>IF($H53="","",VLOOKUP($H53,Data!$C$6:$Y$29,17,FALSE))</f>
        <v>1369</v>
      </c>
      <c r="Z53" s="2">
        <f>IF($H53="","",VLOOKUP($H53,Data!$C$6:$Y$29,18,FALSE))</f>
        <v>541</v>
      </c>
      <c r="AA53" s="2">
        <f>IF($H53="","",VLOOKUP($H53,Data!$C$6:$Y$29,19,FALSE))</f>
        <v>852</v>
      </c>
      <c r="AB53" s="2">
        <f>IF($H53="","",VLOOKUP($H53,Data!$C$6:$Y$29,20,FALSE))</f>
        <v>1030</v>
      </c>
      <c r="AC53" s="2">
        <f>IF($H53="","",VLOOKUP($H53,Data!$C$6:$Y$29,21,FALSE))</f>
        <v>400</v>
      </c>
      <c r="AD53" s="2">
        <f>IF($H53="","",VLOOKUP($H53,Data!$C$6:$Y$29,22,FALSE))</f>
        <v>50</v>
      </c>
      <c r="AE53" s="3">
        <f>IF($H53="","",VLOOKUP($H53,Data!$C$6:$Y$29,23,FALSE))</f>
        <v>92</v>
      </c>
      <c r="AG53" s="76" t="str">
        <f>IF($E53="","",IF($C53="DUCTED",VLOOKUP($E53,'DX-Data'!$D$5:$J$11,7,TRUE),IF($C53="DECORATIVE",VLOOKUP($E53,'DX-Data'!$D$19:$J$23,7,TRUE),IF($C53="PACKAGED",VLOOKUP($E53,'DX-Data'!$D$24:$J$30,7,TRUE),IF($C53="DUCTED-INV",VLOOKUP($E53,'DX-Data'!$D$12:$J$18,7,TRUE),"CHOOSE AC TYPE")))))</f>
        <v>FDMRN36AVKU - RR36AVKU</v>
      </c>
      <c r="AH53" s="76" t="str">
        <f>IF($F$9=TRUE,IF($C53="DUCTED",VLOOKUP($F53,'DX-Data'!$F$5:$J$11,5,TRUE),IF($C53="DECORATIVE",VLOOKUP($F53,'DX-Data'!$F$19:$J$23,5,TRUE),IF($C53="PACKAGED",VLOOKUP($F53,'DX-Data'!$F$24:$J$30,5,TRUE),IF($C53="DUCTED-INV",VLOOKUP($F53,'DX-Data'!$F$12:$J$18,5,TRUE),"CHOOSE AC TYPE")))),"NO SELECTION")</f>
        <v>FDMRN30AVKU - RR30AVKU</v>
      </c>
      <c r="AI53" s="76" t="str">
        <f>IF($G$9=TRUE,IF($C53="DUCTED",VLOOKUP($G53,'DX-Data'!$H$5:$J$11,3,TRUE),IF($C53="DECORATIVE",VLOOKUP($G53,'DX-Data'!$H$19:$J$23,3,TRUE),IF($C53="PACKAGED",VLOOKUP($G53,'DX-Data'!$H$24:$J$30,3,TRUE),IF($C53="DUCTED-INV",VLOOKUP($G53,'DX-Data'!$H$12:$J$18,3,TRUE),"CHOOSE AC TYPE")))),"NO SELECTION")</f>
        <v>NO SELECTION</v>
      </c>
      <c r="AJ53" s="77">
        <f>IF($E53="","",IF($C53="DUCTED",VLOOKUP($E53,'DX-Data'!$D$5:$J$11,6,TRUE),IF($C53="DECORATIVE",VLOOKUP($E53,'DX-Data'!$D$19:$J$23,6,TRUE),IF($C53="PACKAGED",VLOOKUP($E53,'DX-Data'!$D$24:$J$30,6,TRUE),IF($C53="DUCTED-INV",VLOOKUP($E53,'DX-Data'!$D$12:$J$18,6,TRUE),0)))))</f>
        <v>4</v>
      </c>
      <c r="AK53" s="77">
        <f>IF($F$9=TRUE,IF($C53="DUCTED",VLOOKUP($F53,'DX-Data'!$F$5:$J$11,4,TRUE),IF($C53="DECORATIVE",VLOOKUP($F53,'DX-Data'!$F$19:$J$23,4,TRUE),IF($C53="PACKAGED",VLOOKUP($F53,'DX-Data'!$F$24:$J$30,4,TRUE),IF($C53="DUCTED-INV",VLOOKUP($F53,'DX-Data'!$F$12:$J$18,4,TRUE),"CHOOSE AC TYPE")))),0)</f>
        <v>3</v>
      </c>
      <c r="AL53" s="77">
        <f>IF($G$9=TRUE,IF($C53="DUCTED",VLOOKUP($G53,'DX-Data'!$H$5:$J$11,2,TRUE),IF($C53="DECORATIVE",VLOOKUP($G53,'DX-Data'!$H$19:$J$23,2,TRUE),IF($C53="PACKAGED",VLOOKUP($G53,'DX-Data'!$H$24:$J$30,2,TRUE),IF($C53="DUCTED-INV",VLOOKUP($G53,'DX-Data'!$H$12:$J$18,2,TRUE),"CHOOSE AC TYPE")))),0)</f>
        <v>0</v>
      </c>
      <c r="AM53" s="77">
        <f t="shared" si="5"/>
        <v>4</v>
      </c>
      <c r="AN53" s="76" t="str">
        <f>IF(E53="","",VLOOKUP($AM53,'DX-Data'!$I$5:$J$31,2,FALSE))</f>
        <v>FDMRN36AVKU - RR36AVKU</v>
      </c>
      <c r="AO53" s="77">
        <f t="shared" si="6"/>
        <v>1</v>
      </c>
    </row>
    <row r="54" spans="2:41" x14ac:dyDescent="0.3">
      <c r="B54" s="71" t="s">
        <v>134</v>
      </c>
      <c r="C54" s="26" t="s">
        <v>38</v>
      </c>
      <c r="D54" s="27" t="s">
        <v>196</v>
      </c>
      <c r="E54" s="26">
        <v>7.3</v>
      </c>
      <c r="F54" s="26">
        <v>5.8</v>
      </c>
      <c r="G54" s="82">
        <v>469</v>
      </c>
      <c r="H54" s="74" t="str">
        <f t="shared" si="7"/>
        <v>FDMRN36AVKU - RR36AVKU</v>
      </c>
      <c r="I54" s="2">
        <f t="shared" si="8"/>
        <v>1</v>
      </c>
      <c r="J54" s="21">
        <f>IF($H54="","",VLOOKUP($H54,Data!$C$6:$Y$29,2,FALSE))</f>
        <v>3</v>
      </c>
      <c r="K54" s="2" t="str">
        <f>IF($H54="","",VLOOKUP($H54,Data!$C$6:$Y$29,3,FALSE))</f>
        <v>Non-Inverter</v>
      </c>
      <c r="L54" s="2" t="str">
        <f>IF($H54="","",VLOOKUP($H54,Data!$C$6:$Y$29,4,FALSE))</f>
        <v>R-410A</v>
      </c>
      <c r="M54" s="2" t="str">
        <f>IF($H54="","",VLOOKUP($H54,Data!$C$6:$Y$29,5,FALSE))</f>
        <v>24/16</v>
      </c>
      <c r="N54" s="2">
        <f>IF($H54="","",VLOOKUP($H54,Data!$C$6:$Y$29,6,FALSE))</f>
        <v>46</v>
      </c>
      <c r="O54" s="2">
        <f>IF($H54="","",VLOOKUP($H54,Data!$C$6:$Y$29,7,FALSE))</f>
        <v>8.42</v>
      </c>
      <c r="P54" s="2">
        <f>IF($H54="","",VLOOKUP($H54,Data!$C$6:$Y$29,8,FALSE))</f>
        <v>8.18</v>
      </c>
      <c r="Q54" s="2">
        <f>IF($H54="","",VLOOKUP($H54,Data!$C$6:$Y$29,9,FALSE))</f>
        <v>650</v>
      </c>
      <c r="R54" s="2" t="str">
        <f>IF($H54="","",VLOOKUP($H54,Data!$C$6:$Y$29,10,FALSE))</f>
        <v>MEDIUM</v>
      </c>
      <c r="S54" s="2">
        <f>IF($H54="","",VLOOKUP($H54,Data!$C$6:$Y$29,11,FALSE))</f>
        <v>3.39</v>
      </c>
      <c r="T54" s="2">
        <f>IF($H54="","",VLOOKUP($H54,Data!$C$6:$Y$29,12,FALSE))</f>
        <v>3.55</v>
      </c>
      <c r="U54" s="2">
        <f>IF($H54="","",VLOOKUP($H54,Data!$C$6:$Y$29,13,FALSE))</f>
        <v>3.56</v>
      </c>
      <c r="V54" s="2">
        <f>IF($H54="","",VLOOKUP($H54,Data!$C$6:$Y$29,14,FALSE))</f>
        <v>50</v>
      </c>
      <c r="W54" s="2" t="str">
        <f>IF($H54="","",VLOOKUP($H54,Data!$C$6:$Y$29,15,FALSE))</f>
        <v>220-240/1/50</v>
      </c>
      <c r="X54" s="2">
        <f>IF($H54="","",VLOOKUP($H54,Data!$C$6:$Y$29,16,FALSE))</f>
        <v>378</v>
      </c>
      <c r="Y54" s="2">
        <f>IF($H54="","",VLOOKUP($H54,Data!$C$6:$Y$29,17,FALSE))</f>
        <v>1369</v>
      </c>
      <c r="Z54" s="2">
        <f>IF($H54="","",VLOOKUP($H54,Data!$C$6:$Y$29,18,FALSE))</f>
        <v>541</v>
      </c>
      <c r="AA54" s="2">
        <f>IF($H54="","",VLOOKUP($H54,Data!$C$6:$Y$29,19,FALSE))</f>
        <v>852</v>
      </c>
      <c r="AB54" s="2">
        <f>IF($H54="","",VLOOKUP($H54,Data!$C$6:$Y$29,20,FALSE))</f>
        <v>1030</v>
      </c>
      <c r="AC54" s="2">
        <f>IF($H54="","",VLOOKUP($H54,Data!$C$6:$Y$29,21,FALSE))</f>
        <v>400</v>
      </c>
      <c r="AD54" s="2">
        <f>IF($H54="","",VLOOKUP($H54,Data!$C$6:$Y$29,22,FALSE))</f>
        <v>50</v>
      </c>
      <c r="AE54" s="3">
        <f>IF($H54="","",VLOOKUP($H54,Data!$C$6:$Y$29,23,FALSE))</f>
        <v>92</v>
      </c>
      <c r="AG54" s="76" t="str">
        <f>IF($E54="","",IF($C54="DUCTED",VLOOKUP($E54,'DX-Data'!$D$5:$J$11,7,TRUE),IF($C54="DECORATIVE",VLOOKUP($E54,'DX-Data'!$D$19:$J$23,7,TRUE),IF($C54="PACKAGED",VLOOKUP($E54,'DX-Data'!$D$24:$J$30,7,TRUE),IF($C54="DUCTED-INV",VLOOKUP($E54,'DX-Data'!$D$12:$J$18,7,TRUE),"CHOOSE AC TYPE")))))</f>
        <v>FDMRN36AVKU - RR36AVKU</v>
      </c>
      <c r="AH54" s="76" t="str">
        <f>IF($F$9=TRUE,IF($C54="DUCTED",VLOOKUP($F54,'DX-Data'!$F$5:$J$11,5,TRUE),IF($C54="DECORATIVE",VLOOKUP($F54,'DX-Data'!$F$19:$J$23,5,TRUE),IF($C54="PACKAGED",VLOOKUP($F54,'DX-Data'!$F$24:$J$30,5,TRUE),IF($C54="DUCTED-INV",VLOOKUP($F54,'DX-Data'!$F$12:$J$18,5,TRUE),"CHOOSE AC TYPE")))),"NO SELECTION")</f>
        <v>FDMRN30AVKU - RR30AVKU</v>
      </c>
      <c r="AI54" s="76" t="str">
        <f>IF($G$9=TRUE,IF($C54="DUCTED",VLOOKUP($G54,'DX-Data'!$H$5:$J$11,3,TRUE),IF($C54="DECORATIVE",VLOOKUP($G54,'DX-Data'!$H$19:$J$23,3,TRUE),IF($C54="PACKAGED",VLOOKUP($G54,'DX-Data'!$H$24:$J$30,3,TRUE),IF($C54="DUCTED-INV",VLOOKUP($G54,'DX-Data'!$H$12:$J$18,3,TRUE),"CHOOSE AC TYPE")))),"NO SELECTION")</f>
        <v>NO SELECTION</v>
      </c>
      <c r="AJ54" s="77">
        <f>IF($E54="","",IF($C54="DUCTED",VLOOKUP($E54,'DX-Data'!$D$5:$J$11,6,TRUE),IF($C54="DECORATIVE",VLOOKUP($E54,'DX-Data'!$D$19:$J$23,6,TRUE),IF($C54="PACKAGED",VLOOKUP($E54,'DX-Data'!$D$24:$J$30,6,TRUE),IF($C54="DUCTED-INV",VLOOKUP($E54,'DX-Data'!$D$12:$J$18,6,TRUE),0)))))</f>
        <v>4</v>
      </c>
      <c r="AK54" s="77">
        <f>IF($F$9=TRUE,IF($C54="DUCTED",VLOOKUP($F54,'DX-Data'!$F$5:$J$11,4,TRUE),IF($C54="DECORATIVE",VLOOKUP($F54,'DX-Data'!$F$19:$J$23,4,TRUE),IF($C54="PACKAGED",VLOOKUP($F54,'DX-Data'!$F$24:$J$30,4,TRUE),IF($C54="DUCTED-INV",VLOOKUP($F54,'DX-Data'!$F$12:$J$18,4,TRUE),"CHOOSE AC TYPE")))),0)</f>
        <v>3</v>
      </c>
      <c r="AL54" s="77">
        <f>IF($G$9=TRUE,IF($C54="DUCTED",VLOOKUP($G54,'DX-Data'!$H$5:$J$11,2,TRUE),IF($C54="DECORATIVE",VLOOKUP($G54,'DX-Data'!$H$19:$J$23,2,TRUE),IF($C54="PACKAGED",VLOOKUP($G54,'DX-Data'!$H$24:$J$30,2,TRUE),IF($C54="DUCTED-INV",VLOOKUP($G54,'DX-Data'!$H$12:$J$18,2,TRUE),"CHOOSE AC TYPE")))),0)</f>
        <v>0</v>
      </c>
      <c r="AM54" s="77">
        <f t="shared" si="5"/>
        <v>4</v>
      </c>
      <c r="AN54" s="76" t="str">
        <f>IF(E54="","",VLOOKUP($AM54,'DX-Data'!$I$5:$J$31,2,FALSE))</f>
        <v>FDMRN36AVKU - RR36AVKU</v>
      </c>
      <c r="AO54" s="77">
        <f t="shared" si="6"/>
        <v>1</v>
      </c>
    </row>
    <row r="55" spans="2:41" x14ac:dyDescent="0.3">
      <c r="B55" s="71" t="s">
        <v>135</v>
      </c>
      <c r="C55" s="26" t="s">
        <v>38</v>
      </c>
      <c r="D55" s="27" t="s">
        <v>197</v>
      </c>
      <c r="E55" s="26">
        <v>3.3</v>
      </c>
      <c r="F55" s="26">
        <v>2.7</v>
      </c>
      <c r="G55" s="82">
        <v>215</v>
      </c>
      <c r="H55" s="74" t="str">
        <f t="shared" si="7"/>
        <v>FDMRN20AVKU - RR20AVKU</v>
      </c>
      <c r="I55" s="2">
        <f t="shared" si="8"/>
        <v>1</v>
      </c>
      <c r="J55" s="21">
        <f>IF($H55="","",VLOOKUP($H55,Data!$C$6:$Y$29,2,FALSE))</f>
        <v>1.5</v>
      </c>
      <c r="K55" s="2" t="str">
        <f>IF($H55="","",VLOOKUP($H55,Data!$C$6:$Y$29,3,FALSE))</f>
        <v>Non-Inverter</v>
      </c>
      <c r="L55" s="2" t="str">
        <f>IF($H55="","",VLOOKUP($H55,Data!$C$6:$Y$29,4,FALSE))</f>
        <v>R-410A</v>
      </c>
      <c r="M55" s="2" t="str">
        <f>IF($H55="","",VLOOKUP($H55,Data!$C$6:$Y$29,5,FALSE))</f>
        <v>24/16</v>
      </c>
      <c r="N55" s="2">
        <f>IF($H55="","",VLOOKUP($H55,Data!$C$6:$Y$29,6,FALSE))</f>
        <v>46</v>
      </c>
      <c r="O55" s="2">
        <f>IF($H55="","",VLOOKUP($H55,Data!$C$6:$Y$29,7,FALSE))</f>
        <v>4.24</v>
      </c>
      <c r="P55" s="2">
        <f>IF($H55="","",VLOOKUP($H55,Data!$C$6:$Y$29,8,FALSE))</f>
        <v>4.1100000000000003</v>
      </c>
      <c r="Q55" s="2">
        <f>IF($H55="","",VLOOKUP($H55,Data!$C$6:$Y$29,9,FALSE))</f>
        <v>255</v>
      </c>
      <c r="R55" s="2" t="str">
        <f>IF($H55="","",VLOOKUP($H55,Data!$C$6:$Y$29,10,FALSE))</f>
        <v>MEDIUM</v>
      </c>
      <c r="S55" s="2">
        <f>IF($H55="","",VLOOKUP($H55,Data!$C$6:$Y$29,11,FALSE))</f>
        <v>1.77</v>
      </c>
      <c r="T55" s="2">
        <f>IF($H55="","",VLOOKUP($H55,Data!$C$6:$Y$29,12,FALSE))</f>
        <v>1.8</v>
      </c>
      <c r="U55" s="2">
        <f>IF($H55="","",VLOOKUP($H55,Data!$C$6:$Y$29,13,FALSE))</f>
        <v>3.49</v>
      </c>
      <c r="V55" s="2">
        <f>IF($H55="","",VLOOKUP($H55,Data!$C$6:$Y$29,14,FALSE))</f>
        <v>40</v>
      </c>
      <c r="W55" s="2" t="str">
        <f>IF($H55="","",VLOOKUP($H55,Data!$C$6:$Y$29,15,FALSE))</f>
        <v>220-240/1/50</v>
      </c>
      <c r="X55" s="2">
        <f>IF($H55="","",VLOOKUP($H55,Data!$C$6:$Y$29,16,FALSE))</f>
        <v>261</v>
      </c>
      <c r="Y55" s="2">
        <f>IF($H55="","",VLOOKUP($H55,Data!$C$6:$Y$29,17,FALSE))</f>
        <v>1200</v>
      </c>
      <c r="Z55" s="2">
        <f>IF($H55="","",VLOOKUP($H55,Data!$C$6:$Y$29,18,FALSE))</f>
        <v>448</v>
      </c>
      <c r="AA55" s="2">
        <f>IF($H55="","",VLOOKUP($H55,Data!$C$6:$Y$29,19,FALSE))</f>
        <v>753</v>
      </c>
      <c r="AB55" s="2">
        <f>IF($H55="","",VLOOKUP($H55,Data!$C$6:$Y$29,20,FALSE))</f>
        <v>855</v>
      </c>
      <c r="AC55" s="2">
        <f>IF($H55="","",VLOOKUP($H55,Data!$C$6:$Y$29,21,FALSE))</f>
        <v>328</v>
      </c>
      <c r="AD55" s="2">
        <f>IF($H55="","",VLOOKUP($H55,Data!$C$6:$Y$29,22,FALSE))</f>
        <v>26</v>
      </c>
      <c r="AE55" s="3">
        <f>IF($H55="","",VLOOKUP($H55,Data!$C$6:$Y$29,23,FALSE))</f>
        <v>47</v>
      </c>
      <c r="AG55" s="76" t="str">
        <f>IF($E55="","",IF($C55="DUCTED",VLOOKUP($E55,'DX-Data'!$D$5:$J$11,7,TRUE),IF($C55="DECORATIVE",VLOOKUP($E55,'DX-Data'!$D$19:$J$23,7,TRUE),IF($C55="PACKAGED",VLOOKUP($E55,'DX-Data'!$D$24:$J$30,7,TRUE),IF($C55="DUCTED-INV",VLOOKUP($E55,'DX-Data'!$D$12:$J$18,7,TRUE),"CHOOSE AC TYPE")))))</f>
        <v>FDMRN20AVKU - RR20AVKU</v>
      </c>
      <c r="AH55" s="76" t="str">
        <f>IF($F$9=TRUE,IF($C55="DUCTED",VLOOKUP($F55,'DX-Data'!$F$5:$J$11,5,TRUE),IF($C55="DECORATIVE",VLOOKUP($F55,'DX-Data'!$F$19:$J$23,5,TRUE),IF($C55="PACKAGED",VLOOKUP($F55,'DX-Data'!$F$24:$J$30,5,TRUE),IF($C55="DUCTED-INV",VLOOKUP($F55,'DX-Data'!$F$12:$J$18,5,TRUE),"CHOOSE AC TYPE")))),"NO SELECTION")</f>
        <v>FDMRN20AVKU - RR20AVKU</v>
      </c>
      <c r="AI55" s="76" t="str">
        <f>IF($G$9=TRUE,IF($C55="DUCTED",VLOOKUP($G55,'DX-Data'!$H$5:$J$11,3,TRUE),IF($C55="DECORATIVE",VLOOKUP($G55,'DX-Data'!$H$19:$J$23,3,TRUE),IF($C55="PACKAGED",VLOOKUP($G55,'DX-Data'!$H$24:$J$30,3,TRUE),IF($C55="DUCTED-INV",VLOOKUP($G55,'DX-Data'!$H$12:$J$18,3,TRUE),"CHOOSE AC TYPE")))),"NO SELECTION")</f>
        <v>NO SELECTION</v>
      </c>
      <c r="AJ55" s="77">
        <f>IF($E55="","",IF($C55="DUCTED",VLOOKUP($E55,'DX-Data'!$D$5:$J$11,6,TRUE),IF($C55="DECORATIVE",VLOOKUP($E55,'DX-Data'!$D$19:$J$23,6,TRUE),IF($C55="PACKAGED",VLOOKUP($E55,'DX-Data'!$D$24:$J$30,6,TRUE),IF($C55="DUCTED-INV",VLOOKUP($E55,'DX-Data'!$D$12:$J$18,6,TRUE),0)))))</f>
        <v>1</v>
      </c>
      <c r="AK55" s="77">
        <f>IF($F$9=TRUE,IF($C55="DUCTED",VLOOKUP($F55,'DX-Data'!$F$5:$J$11,4,TRUE),IF($C55="DECORATIVE",VLOOKUP($F55,'DX-Data'!$F$19:$J$23,4,TRUE),IF($C55="PACKAGED",VLOOKUP($F55,'DX-Data'!$F$24:$J$30,4,TRUE),IF($C55="DUCTED-INV",VLOOKUP($F55,'DX-Data'!$F$12:$J$18,4,TRUE),"CHOOSE AC TYPE")))),0)</f>
        <v>1</v>
      </c>
      <c r="AL55" s="77">
        <f>IF($G$9=TRUE,IF($C55="DUCTED",VLOOKUP($G55,'DX-Data'!$H$5:$J$11,2,TRUE),IF($C55="DECORATIVE",VLOOKUP($G55,'DX-Data'!$H$19:$J$23,2,TRUE),IF($C55="PACKAGED",VLOOKUP($G55,'DX-Data'!$H$24:$J$30,2,TRUE),IF($C55="DUCTED-INV",VLOOKUP($G55,'DX-Data'!$H$12:$J$18,2,TRUE),"CHOOSE AC TYPE")))),0)</f>
        <v>0</v>
      </c>
      <c r="AM55" s="77">
        <f t="shared" si="5"/>
        <v>1</v>
      </c>
      <c r="AN55" s="76" t="str">
        <f>IF(E55="","",VLOOKUP($AM55,'DX-Data'!$I$5:$J$31,2,FALSE))</f>
        <v>FDMRN20AVKU - RR20AVKU</v>
      </c>
      <c r="AO55" s="77">
        <f t="shared" si="6"/>
        <v>1</v>
      </c>
    </row>
    <row r="56" spans="2:41" x14ac:dyDescent="0.3">
      <c r="B56" s="71" t="s">
        <v>136</v>
      </c>
      <c r="C56" s="26" t="s">
        <v>38</v>
      </c>
      <c r="D56" s="27" t="s">
        <v>198</v>
      </c>
      <c r="E56" s="26">
        <v>3.3</v>
      </c>
      <c r="F56" s="26">
        <v>2.7</v>
      </c>
      <c r="G56" s="82">
        <v>215</v>
      </c>
      <c r="H56" s="74" t="str">
        <f t="shared" si="7"/>
        <v>FDMRN20AVKU - RR20AVKU</v>
      </c>
      <c r="I56" s="2">
        <f t="shared" si="8"/>
        <v>1</v>
      </c>
      <c r="J56" s="21">
        <f>IF($H56="","",VLOOKUP($H56,Data!$C$6:$Y$29,2,FALSE))</f>
        <v>1.5</v>
      </c>
      <c r="K56" s="2" t="str">
        <f>IF($H56="","",VLOOKUP($H56,Data!$C$6:$Y$29,3,FALSE))</f>
        <v>Non-Inverter</v>
      </c>
      <c r="L56" s="2" t="str">
        <f>IF($H56="","",VLOOKUP($H56,Data!$C$6:$Y$29,4,FALSE))</f>
        <v>R-410A</v>
      </c>
      <c r="M56" s="2" t="str">
        <f>IF($H56="","",VLOOKUP($H56,Data!$C$6:$Y$29,5,FALSE))</f>
        <v>24/16</v>
      </c>
      <c r="N56" s="2">
        <f>IF($H56="","",VLOOKUP($H56,Data!$C$6:$Y$29,6,FALSE))</f>
        <v>46</v>
      </c>
      <c r="O56" s="2">
        <f>IF($H56="","",VLOOKUP($H56,Data!$C$6:$Y$29,7,FALSE))</f>
        <v>4.24</v>
      </c>
      <c r="P56" s="2">
        <f>IF($H56="","",VLOOKUP($H56,Data!$C$6:$Y$29,8,FALSE))</f>
        <v>4.1100000000000003</v>
      </c>
      <c r="Q56" s="2">
        <f>IF($H56="","",VLOOKUP($H56,Data!$C$6:$Y$29,9,FALSE))</f>
        <v>255</v>
      </c>
      <c r="R56" s="2" t="str">
        <f>IF($H56="","",VLOOKUP($H56,Data!$C$6:$Y$29,10,FALSE))</f>
        <v>MEDIUM</v>
      </c>
      <c r="S56" s="2">
        <f>IF($H56="","",VLOOKUP($H56,Data!$C$6:$Y$29,11,FALSE))</f>
        <v>1.77</v>
      </c>
      <c r="T56" s="2">
        <f>IF($H56="","",VLOOKUP($H56,Data!$C$6:$Y$29,12,FALSE))</f>
        <v>1.8</v>
      </c>
      <c r="U56" s="2">
        <f>IF($H56="","",VLOOKUP($H56,Data!$C$6:$Y$29,13,FALSE))</f>
        <v>3.49</v>
      </c>
      <c r="V56" s="2">
        <f>IF($H56="","",VLOOKUP($H56,Data!$C$6:$Y$29,14,FALSE))</f>
        <v>40</v>
      </c>
      <c r="W56" s="2" t="str">
        <f>IF($H56="","",VLOOKUP($H56,Data!$C$6:$Y$29,15,FALSE))</f>
        <v>220-240/1/50</v>
      </c>
      <c r="X56" s="2">
        <f>IF($H56="","",VLOOKUP($H56,Data!$C$6:$Y$29,16,FALSE))</f>
        <v>261</v>
      </c>
      <c r="Y56" s="2">
        <f>IF($H56="","",VLOOKUP($H56,Data!$C$6:$Y$29,17,FALSE))</f>
        <v>1200</v>
      </c>
      <c r="Z56" s="2">
        <f>IF($H56="","",VLOOKUP($H56,Data!$C$6:$Y$29,18,FALSE))</f>
        <v>448</v>
      </c>
      <c r="AA56" s="2">
        <f>IF($H56="","",VLOOKUP($H56,Data!$C$6:$Y$29,19,FALSE))</f>
        <v>753</v>
      </c>
      <c r="AB56" s="2">
        <f>IF($H56="","",VLOOKUP($H56,Data!$C$6:$Y$29,20,FALSE))</f>
        <v>855</v>
      </c>
      <c r="AC56" s="2">
        <f>IF($H56="","",VLOOKUP($H56,Data!$C$6:$Y$29,21,FALSE))</f>
        <v>328</v>
      </c>
      <c r="AD56" s="2">
        <f>IF($H56="","",VLOOKUP($H56,Data!$C$6:$Y$29,22,FALSE))</f>
        <v>26</v>
      </c>
      <c r="AE56" s="3">
        <f>IF($H56="","",VLOOKUP($H56,Data!$C$6:$Y$29,23,FALSE))</f>
        <v>47</v>
      </c>
      <c r="AG56" s="76" t="str">
        <f>IF($E56="","",IF($C56="DUCTED",VLOOKUP($E56,'DX-Data'!$D$5:$J$11,7,TRUE),IF($C56="DECORATIVE",VLOOKUP($E56,'DX-Data'!$D$19:$J$23,7,TRUE),IF($C56="PACKAGED",VLOOKUP($E56,'DX-Data'!$D$24:$J$30,7,TRUE),IF($C56="DUCTED-INV",VLOOKUP($E56,'DX-Data'!$D$12:$J$18,7,TRUE),"CHOOSE AC TYPE")))))</f>
        <v>FDMRN20AVKU - RR20AVKU</v>
      </c>
      <c r="AH56" s="76" t="str">
        <f>IF($F$9=TRUE,IF($C56="DUCTED",VLOOKUP($F56,'DX-Data'!$F$5:$J$11,5,TRUE),IF($C56="DECORATIVE",VLOOKUP($F56,'DX-Data'!$F$19:$J$23,5,TRUE),IF($C56="PACKAGED",VLOOKUP($F56,'DX-Data'!$F$24:$J$30,5,TRUE),IF($C56="DUCTED-INV",VLOOKUP($F56,'DX-Data'!$F$12:$J$18,5,TRUE),"CHOOSE AC TYPE")))),"NO SELECTION")</f>
        <v>FDMRN20AVKU - RR20AVKU</v>
      </c>
      <c r="AI56" s="76" t="str">
        <f>IF($G$9=TRUE,IF($C56="DUCTED",VLOOKUP($G56,'DX-Data'!$H$5:$J$11,3,TRUE),IF($C56="DECORATIVE",VLOOKUP($G56,'DX-Data'!$H$19:$J$23,3,TRUE),IF($C56="PACKAGED",VLOOKUP($G56,'DX-Data'!$H$24:$J$30,3,TRUE),IF($C56="DUCTED-INV",VLOOKUP($G56,'DX-Data'!$H$12:$J$18,3,TRUE),"CHOOSE AC TYPE")))),"NO SELECTION")</f>
        <v>NO SELECTION</v>
      </c>
      <c r="AJ56" s="77">
        <f>IF($E56="","",IF($C56="DUCTED",VLOOKUP($E56,'DX-Data'!$D$5:$J$11,6,TRUE),IF($C56="DECORATIVE",VLOOKUP($E56,'DX-Data'!$D$19:$J$23,6,TRUE),IF($C56="PACKAGED",VLOOKUP($E56,'DX-Data'!$D$24:$J$30,6,TRUE),IF($C56="DUCTED-INV",VLOOKUP($E56,'DX-Data'!$D$12:$J$18,6,TRUE),0)))))</f>
        <v>1</v>
      </c>
      <c r="AK56" s="77">
        <f>IF($F$9=TRUE,IF($C56="DUCTED",VLOOKUP($F56,'DX-Data'!$F$5:$J$11,4,TRUE),IF($C56="DECORATIVE",VLOOKUP($F56,'DX-Data'!$F$19:$J$23,4,TRUE),IF($C56="PACKAGED",VLOOKUP($F56,'DX-Data'!$F$24:$J$30,4,TRUE),IF($C56="DUCTED-INV",VLOOKUP($F56,'DX-Data'!$F$12:$J$18,4,TRUE),"CHOOSE AC TYPE")))),0)</f>
        <v>1</v>
      </c>
      <c r="AL56" s="77">
        <f>IF($G$9=TRUE,IF($C56="DUCTED",VLOOKUP($G56,'DX-Data'!$H$5:$J$11,2,TRUE),IF($C56="DECORATIVE",VLOOKUP($G56,'DX-Data'!$H$19:$J$23,2,TRUE),IF($C56="PACKAGED",VLOOKUP($G56,'DX-Data'!$H$24:$J$30,2,TRUE),IF($C56="DUCTED-INV",VLOOKUP($G56,'DX-Data'!$H$12:$J$18,2,TRUE),"CHOOSE AC TYPE")))),0)</f>
        <v>0</v>
      </c>
      <c r="AM56" s="77">
        <f t="shared" si="5"/>
        <v>1</v>
      </c>
      <c r="AN56" s="76" t="str">
        <f>IF(E56="","",VLOOKUP($AM56,'DX-Data'!$I$5:$J$31,2,FALSE))</f>
        <v>FDMRN20AVKU - RR20AVKU</v>
      </c>
      <c r="AO56" s="77">
        <f t="shared" si="6"/>
        <v>1</v>
      </c>
    </row>
    <row r="57" spans="2:41" x14ac:dyDescent="0.3">
      <c r="B57" s="71" t="s">
        <v>137</v>
      </c>
      <c r="C57" s="26" t="s">
        <v>38</v>
      </c>
      <c r="D57" s="27" t="s">
        <v>199</v>
      </c>
      <c r="E57" s="26">
        <v>3.3</v>
      </c>
      <c r="F57" s="26">
        <v>2.7</v>
      </c>
      <c r="G57" s="82">
        <v>215</v>
      </c>
      <c r="H57" s="74" t="str">
        <f t="shared" si="7"/>
        <v>FDMRN20AVKU - RR20AVKU</v>
      </c>
      <c r="I57" s="2">
        <f t="shared" si="8"/>
        <v>1</v>
      </c>
      <c r="J57" s="21">
        <f>IF($H57="","",VLOOKUP($H57,Data!$C$6:$Y$29,2,FALSE))</f>
        <v>1.5</v>
      </c>
      <c r="K57" s="2" t="str">
        <f>IF($H57="","",VLOOKUP($H57,Data!$C$6:$Y$29,3,FALSE))</f>
        <v>Non-Inverter</v>
      </c>
      <c r="L57" s="2" t="str">
        <f>IF($H57="","",VLOOKUP($H57,Data!$C$6:$Y$29,4,FALSE))</f>
        <v>R-410A</v>
      </c>
      <c r="M57" s="2" t="str">
        <f>IF($H57="","",VLOOKUP($H57,Data!$C$6:$Y$29,5,FALSE))</f>
        <v>24/16</v>
      </c>
      <c r="N57" s="2">
        <f>IF($H57="","",VLOOKUP($H57,Data!$C$6:$Y$29,6,FALSE))</f>
        <v>46</v>
      </c>
      <c r="O57" s="2">
        <f>IF($H57="","",VLOOKUP($H57,Data!$C$6:$Y$29,7,FALSE))</f>
        <v>4.24</v>
      </c>
      <c r="P57" s="2">
        <f>IF($H57="","",VLOOKUP($H57,Data!$C$6:$Y$29,8,FALSE))</f>
        <v>4.1100000000000003</v>
      </c>
      <c r="Q57" s="2">
        <f>IF($H57="","",VLOOKUP($H57,Data!$C$6:$Y$29,9,FALSE))</f>
        <v>255</v>
      </c>
      <c r="R57" s="2" t="str">
        <f>IF($H57="","",VLOOKUP($H57,Data!$C$6:$Y$29,10,FALSE))</f>
        <v>MEDIUM</v>
      </c>
      <c r="S57" s="2">
        <f>IF($H57="","",VLOOKUP($H57,Data!$C$6:$Y$29,11,FALSE))</f>
        <v>1.77</v>
      </c>
      <c r="T57" s="2">
        <f>IF($H57="","",VLOOKUP($H57,Data!$C$6:$Y$29,12,FALSE))</f>
        <v>1.8</v>
      </c>
      <c r="U57" s="2">
        <f>IF($H57="","",VLOOKUP($H57,Data!$C$6:$Y$29,13,FALSE))</f>
        <v>3.49</v>
      </c>
      <c r="V57" s="2">
        <f>IF($H57="","",VLOOKUP($H57,Data!$C$6:$Y$29,14,FALSE))</f>
        <v>40</v>
      </c>
      <c r="W57" s="2" t="str">
        <f>IF($H57="","",VLOOKUP($H57,Data!$C$6:$Y$29,15,FALSE))</f>
        <v>220-240/1/50</v>
      </c>
      <c r="X57" s="2">
        <f>IF($H57="","",VLOOKUP($H57,Data!$C$6:$Y$29,16,FALSE))</f>
        <v>261</v>
      </c>
      <c r="Y57" s="2">
        <f>IF($H57="","",VLOOKUP($H57,Data!$C$6:$Y$29,17,FALSE))</f>
        <v>1200</v>
      </c>
      <c r="Z57" s="2">
        <f>IF($H57="","",VLOOKUP($H57,Data!$C$6:$Y$29,18,FALSE))</f>
        <v>448</v>
      </c>
      <c r="AA57" s="2">
        <f>IF($H57="","",VLOOKUP($H57,Data!$C$6:$Y$29,19,FALSE))</f>
        <v>753</v>
      </c>
      <c r="AB57" s="2">
        <f>IF($H57="","",VLOOKUP($H57,Data!$C$6:$Y$29,20,FALSE))</f>
        <v>855</v>
      </c>
      <c r="AC57" s="2">
        <f>IF($H57="","",VLOOKUP($H57,Data!$C$6:$Y$29,21,FALSE))</f>
        <v>328</v>
      </c>
      <c r="AD57" s="2">
        <f>IF($H57="","",VLOOKUP($H57,Data!$C$6:$Y$29,22,FALSE))</f>
        <v>26</v>
      </c>
      <c r="AE57" s="3">
        <f>IF($H57="","",VLOOKUP($H57,Data!$C$6:$Y$29,23,FALSE))</f>
        <v>47</v>
      </c>
      <c r="AG57" s="76" t="str">
        <f>IF($E57="","",IF($C57="DUCTED",VLOOKUP($E57,'DX-Data'!$D$5:$J$11,7,TRUE),IF($C57="DECORATIVE",VLOOKUP($E57,'DX-Data'!$D$19:$J$23,7,TRUE),IF($C57="PACKAGED",VLOOKUP($E57,'DX-Data'!$D$24:$J$30,7,TRUE),IF($C57="DUCTED-INV",VLOOKUP($E57,'DX-Data'!$D$12:$J$18,7,TRUE),"CHOOSE AC TYPE")))))</f>
        <v>FDMRN20AVKU - RR20AVKU</v>
      </c>
      <c r="AH57" s="76" t="str">
        <f>IF($F$9=TRUE,IF($C57="DUCTED",VLOOKUP($F57,'DX-Data'!$F$5:$J$11,5,TRUE),IF($C57="DECORATIVE",VLOOKUP($F57,'DX-Data'!$F$19:$J$23,5,TRUE),IF($C57="PACKAGED",VLOOKUP($F57,'DX-Data'!$F$24:$J$30,5,TRUE),IF($C57="DUCTED-INV",VLOOKUP($F57,'DX-Data'!$F$12:$J$18,5,TRUE),"CHOOSE AC TYPE")))),"NO SELECTION")</f>
        <v>FDMRN20AVKU - RR20AVKU</v>
      </c>
      <c r="AI57" s="76" t="str">
        <f>IF($G$9=TRUE,IF($C57="DUCTED",VLOOKUP($G57,'DX-Data'!$H$5:$J$11,3,TRUE),IF($C57="DECORATIVE",VLOOKUP($G57,'DX-Data'!$H$19:$J$23,3,TRUE),IF($C57="PACKAGED",VLOOKUP($G57,'DX-Data'!$H$24:$J$30,3,TRUE),IF($C57="DUCTED-INV",VLOOKUP($G57,'DX-Data'!$H$12:$J$18,3,TRUE),"CHOOSE AC TYPE")))),"NO SELECTION")</f>
        <v>NO SELECTION</v>
      </c>
      <c r="AJ57" s="77">
        <f>IF($E57="","",IF($C57="DUCTED",VLOOKUP($E57,'DX-Data'!$D$5:$J$11,6,TRUE),IF($C57="DECORATIVE",VLOOKUP($E57,'DX-Data'!$D$19:$J$23,6,TRUE),IF($C57="PACKAGED",VLOOKUP($E57,'DX-Data'!$D$24:$J$30,6,TRUE),IF($C57="DUCTED-INV",VLOOKUP($E57,'DX-Data'!$D$12:$J$18,6,TRUE),0)))))</f>
        <v>1</v>
      </c>
      <c r="AK57" s="77">
        <f>IF($F$9=TRUE,IF($C57="DUCTED",VLOOKUP($F57,'DX-Data'!$F$5:$J$11,4,TRUE),IF($C57="DECORATIVE",VLOOKUP($F57,'DX-Data'!$F$19:$J$23,4,TRUE),IF($C57="PACKAGED",VLOOKUP($F57,'DX-Data'!$F$24:$J$30,4,TRUE),IF($C57="DUCTED-INV",VLOOKUP($F57,'DX-Data'!$F$12:$J$18,4,TRUE),"CHOOSE AC TYPE")))),0)</f>
        <v>1</v>
      </c>
      <c r="AL57" s="77">
        <f>IF($G$9=TRUE,IF($C57="DUCTED",VLOOKUP($G57,'DX-Data'!$H$5:$J$11,2,TRUE),IF($C57="DECORATIVE",VLOOKUP($G57,'DX-Data'!$H$19:$J$23,2,TRUE),IF($C57="PACKAGED",VLOOKUP($G57,'DX-Data'!$H$24:$J$30,2,TRUE),IF($C57="DUCTED-INV",VLOOKUP($G57,'DX-Data'!$H$12:$J$18,2,TRUE),"CHOOSE AC TYPE")))),0)</f>
        <v>0</v>
      </c>
      <c r="AM57" s="77">
        <f t="shared" si="5"/>
        <v>1</v>
      </c>
      <c r="AN57" s="76" t="str">
        <f>IF(E57="","",VLOOKUP($AM57,'DX-Data'!$I$5:$J$31,2,FALSE))</f>
        <v>FDMRN20AVKU - RR20AVKU</v>
      </c>
      <c r="AO57" s="77">
        <f t="shared" si="6"/>
        <v>1</v>
      </c>
    </row>
    <row r="58" spans="2:41" x14ac:dyDescent="0.3">
      <c r="B58" s="71" t="s">
        <v>138</v>
      </c>
      <c r="C58" s="26" t="s">
        <v>38</v>
      </c>
      <c r="D58" s="27" t="s">
        <v>200</v>
      </c>
      <c r="E58" s="26">
        <v>3.3</v>
      </c>
      <c r="F58" s="26">
        <v>2.7</v>
      </c>
      <c r="G58" s="82">
        <v>215</v>
      </c>
      <c r="H58" s="74" t="str">
        <f t="shared" si="7"/>
        <v>FDMRN20AVKU - RR20AVKU</v>
      </c>
      <c r="I58" s="2">
        <f t="shared" si="8"/>
        <v>1</v>
      </c>
      <c r="J58" s="21">
        <f>IF($H58="","",VLOOKUP($H58,Data!$C$6:$Y$29,2,FALSE))</f>
        <v>1.5</v>
      </c>
      <c r="K58" s="2" t="str">
        <f>IF($H58="","",VLOOKUP($H58,Data!$C$6:$Y$29,3,FALSE))</f>
        <v>Non-Inverter</v>
      </c>
      <c r="L58" s="2" t="str">
        <f>IF($H58="","",VLOOKUP($H58,Data!$C$6:$Y$29,4,FALSE))</f>
        <v>R-410A</v>
      </c>
      <c r="M58" s="2" t="str">
        <f>IF($H58="","",VLOOKUP($H58,Data!$C$6:$Y$29,5,FALSE))</f>
        <v>24/16</v>
      </c>
      <c r="N58" s="2">
        <f>IF($H58="","",VLOOKUP($H58,Data!$C$6:$Y$29,6,FALSE))</f>
        <v>46</v>
      </c>
      <c r="O58" s="2">
        <f>IF($H58="","",VLOOKUP($H58,Data!$C$6:$Y$29,7,FALSE))</f>
        <v>4.24</v>
      </c>
      <c r="P58" s="2">
        <f>IF($H58="","",VLOOKUP($H58,Data!$C$6:$Y$29,8,FALSE))</f>
        <v>4.1100000000000003</v>
      </c>
      <c r="Q58" s="2">
        <f>IF($H58="","",VLOOKUP($H58,Data!$C$6:$Y$29,9,FALSE))</f>
        <v>255</v>
      </c>
      <c r="R58" s="2" t="str">
        <f>IF($H58="","",VLOOKUP($H58,Data!$C$6:$Y$29,10,FALSE))</f>
        <v>MEDIUM</v>
      </c>
      <c r="S58" s="2">
        <f>IF($H58="","",VLOOKUP($H58,Data!$C$6:$Y$29,11,FALSE))</f>
        <v>1.77</v>
      </c>
      <c r="T58" s="2">
        <f>IF($H58="","",VLOOKUP($H58,Data!$C$6:$Y$29,12,FALSE))</f>
        <v>1.8</v>
      </c>
      <c r="U58" s="2">
        <f>IF($H58="","",VLOOKUP($H58,Data!$C$6:$Y$29,13,FALSE))</f>
        <v>3.49</v>
      </c>
      <c r="V58" s="2">
        <f>IF($H58="","",VLOOKUP($H58,Data!$C$6:$Y$29,14,FALSE))</f>
        <v>40</v>
      </c>
      <c r="W58" s="2" t="str">
        <f>IF($H58="","",VLOOKUP($H58,Data!$C$6:$Y$29,15,FALSE))</f>
        <v>220-240/1/50</v>
      </c>
      <c r="X58" s="2">
        <f>IF($H58="","",VLOOKUP($H58,Data!$C$6:$Y$29,16,FALSE))</f>
        <v>261</v>
      </c>
      <c r="Y58" s="2">
        <f>IF($H58="","",VLOOKUP($H58,Data!$C$6:$Y$29,17,FALSE))</f>
        <v>1200</v>
      </c>
      <c r="Z58" s="2">
        <f>IF($H58="","",VLOOKUP($H58,Data!$C$6:$Y$29,18,FALSE))</f>
        <v>448</v>
      </c>
      <c r="AA58" s="2">
        <f>IF($H58="","",VLOOKUP($H58,Data!$C$6:$Y$29,19,FALSE))</f>
        <v>753</v>
      </c>
      <c r="AB58" s="2">
        <f>IF($H58="","",VLOOKUP($H58,Data!$C$6:$Y$29,20,FALSE))</f>
        <v>855</v>
      </c>
      <c r="AC58" s="2">
        <f>IF($H58="","",VLOOKUP($H58,Data!$C$6:$Y$29,21,FALSE))</f>
        <v>328</v>
      </c>
      <c r="AD58" s="2">
        <f>IF($H58="","",VLOOKUP($H58,Data!$C$6:$Y$29,22,FALSE))</f>
        <v>26</v>
      </c>
      <c r="AE58" s="3">
        <f>IF($H58="","",VLOOKUP($H58,Data!$C$6:$Y$29,23,FALSE))</f>
        <v>47</v>
      </c>
      <c r="AG58" s="76" t="str">
        <f>IF($E58="","",IF($C58="DUCTED",VLOOKUP($E58,'DX-Data'!$D$5:$J$11,7,TRUE),IF($C58="DECORATIVE",VLOOKUP($E58,'DX-Data'!$D$19:$J$23,7,TRUE),IF($C58="PACKAGED",VLOOKUP($E58,'DX-Data'!$D$24:$J$30,7,TRUE),IF($C58="DUCTED-INV",VLOOKUP($E58,'DX-Data'!$D$12:$J$18,7,TRUE),"CHOOSE AC TYPE")))))</f>
        <v>FDMRN20AVKU - RR20AVKU</v>
      </c>
      <c r="AH58" s="76" t="str">
        <f>IF($F$9=TRUE,IF($C58="DUCTED",VLOOKUP($F58,'DX-Data'!$F$5:$J$11,5,TRUE),IF($C58="DECORATIVE",VLOOKUP($F58,'DX-Data'!$F$19:$J$23,5,TRUE),IF($C58="PACKAGED",VLOOKUP($F58,'DX-Data'!$F$24:$J$30,5,TRUE),IF($C58="DUCTED-INV",VLOOKUP($F58,'DX-Data'!$F$12:$J$18,5,TRUE),"CHOOSE AC TYPE")))),"NO SELECTION")</f>
        <v>FDMRN20AVKU - RR20AVKU</v>
      </c>
      <c r="AI58" s="76" t="str">
        <f>IF($G$9=TRUE,IF($C58="DUCTED",VLOOKUP($G58,'DX-Data'!$H$5:$J$11,3,TRUE),IF($C58="DECORATIVE",VLOOKUP($G58,'DX-Data'!$H$19:$J$23,3,TRUE),IF($C58="PACKAGED",VLOOKUP($G58,'DX-Data'!$H$24:$J$30,3,TRUE),IF($C58="DUCTED-INV",VLOOKUP($G58,'DX-Data'!$H$12:$J$18,3,TRUE),"CHOOSE AC TYPE")))),"NO SELECTION")</f>
        <v>NO SELECTION</v>
      </c>
      <c r="AJ58" s="77">
        <f>IF($E58="","",IF($C58="DUCTED",VLOOKUP($E58,'DX-Data'!$D$5:$J$11,6,TRUE),IF($C58="DECORATIVE",VLOOKUP($E58,'DX-Data'!$D$19:$J$23,6,TRUE),IF($C58="PACKAGED",VLOOKUP($E58,'DX-Data'!$D$24:$J$30,6,TRUE),IF($C58="DUCTED-INV",VLOOKUP($E58,'DX-Data'!$D$12:$J$18,6,TRUE),0)))))</f>
        <v>1</v>
      </c>
      <c r="AK58" s="77">
        <f>IF($F$9=TRUE,IF($C58="DUCTED",VLOOKUP($F58,'DX-Data'!$F$5:$J$11,4,TRUE),IF($C58="DECORATIVE",VLOOKUP($F58,'DX-Data'!$F$19:$J$23,4,TRUE),IF($C58="PACKAGED",VLOOKUP($F58,'DX-Data'!$F$24:$J$30,4,TRUE),IF($C58="DUCTED-INV",VLOOKUP($F58,'DX-Data'!$F$12:$J$18,4,TRUE),"CHOOSE AC TYPE")))),0)</f>
        <v>1</v>
      </c>
      <c r="AL58" s="77">
        <f>IF($G$9=TRUE,IF($C58="DUCTED",VLOOKUP($G58,'DX-Data'!$H$5:$J$11,2,TRUE),IF($C58="DECORATIVE",VLOOKUP($G58,'DX-Data'!$H$19:$J$23,2,TRUE),IF($C58="PACKAGED",VLOOKUP($G58,'DX-Data'!$H$24:$J$30,2,TRUE),IF($C58="DUCTED-INV",VLOOKUP($G58,'DX-Data'!$H$12:$J$18,2,TRUE),"CHOOSE AC TYPE")))),0)</f>
        <v>0</v>
      </c>
      <c r="AM58" s="77">
        <f t="shared" si="5"/>
        <v>1</v>
      </c>
      <c r="AN58" s="76" t="str">
        <f>IF(E58="","",VLOOKUP($AM58,'DX-Data'!$I$5:$J$31,2,FALSE))</f>
        <v>FDMRN20AVKU - RR20AVKU</v>
      </c>
      <c r="AO58" s="77">
        <f t="shared" si="6"/>
        <v>1</v>
      </c>
    </row>
    <row r="59" spans="2:41" x14ac:dyDescent="0.3">
      <c r="B59" s="71" t="s">
        <v>139</v>
      </c>
      <c r="C59" s="26" t="s">
        <v>38</v>
      </c>
      <c r="D59" s="27" t="s">
        <v>201</v>
      </c>
      <c r="E59" s="26">
        <v>3.3</v>
      </c>
      <c r="F59" s="26">
        <v>2.7</v>
      </c>
      <c r="G59" s="82">
        <v>215</v>
      </c>
      <c r="H59" s="74" t="str">
        <f t="shared" si="7"/>
        <v>FDMRN20AVKU - RR20AVKU</v>
      </c>
      <c r="I59" s="2">
        <f t="shared" si="8"/>
        <v>1</v>
      </c>
      <c r="J59" s="21">
        <f>IF($H59="","",VLOOKUP($H59,Data!$C$6:$Y$29,2,FALSE))</f>
        <v>1.5</v>
      </c>
      <c r="K59" s="2" t="str">
        <f>IF($H59="","",VLOOKUP($H59,Data!$C$6:$Y$29,3,FALSE))</f>
        <v>Non-Inverter</v>
      </c>
      <c r="L59" s="2" t="str">
        <f>IF($H59="","",VLOOKUP($H59,Data!$C$6:$Y$29,4,FALSE))</f>
        <v>R-410A</v>
      </c>
      <c r="M59" s="2" t="str">
        <f>IF($H59="","",VLOOKUP($H59,Data!$C$6:$Y$29,5,FALSE))</f>
        <v>24/16</v>
      </c>
      <c r="N59" s="2">
        <f>IF($H59="","",VLOOKUP($H59,Data!$C$6:$Y$29,6,FALSE))</f>
        <v>46</v>
      </c>
      <c r="O59" s="2">
        <f>IF($H59="","",VLOOKUP($H59,Data!$C$6:$Y$29,7,FALSE))</f>
        <v>4.24</v>
      </c>
      <c r="P59" s="2">
        <f>IF($H59="","",VLOOKUP($H59,Data!$C$6:$Y$29,8,FALSE))</f>
        <v>4.1100000000000003</v>
      </c>
      <c r="Q59" s="2">
        <f>IF($H59="","",VLOOKUP($H59,Data!$C$6:$Y$29,9,FALSE))</f>
        <v>255</v>
      </c>
      <c r="R59" s="2" t="str">
        <f>IF($H59="","",VLOOKUP($H59,Data!$C$6:$Y$29,10,FALSE))</f>
        <v>MEDIUM</v>
      </c>
      <c r="S59" s="2">
        <f>IF($H59="","",VLOOKUP($H59,Data!$C$6:$Y$29,11,FALSE))</f>
        <v>1.77</v>
      </c>
      <c r="T59" s="2">
        <f>IF($H59="","",VLOOKUP($H59,Data!$C$6:$Y$29,12,FALSE))</f>
        <v>1.8</v>
      </c>
      <c r="U59" s="2">
        <f>IF($H59="","",VLOOKUP($H59,Data!$C$6:$Y$29,13,FALSE))</f>
        <v>3.49</v>
      </c>
      <c r="V59" s="2">
        <f>IF($H59="","",VLOOKUP($H59,Data!$C$6:$Y$29,14,FALSE))</f>
        <v>40</v>
      </c>
      <c r="W59" s="2" t="str">
        <f>IF($H59="","",VLOOKUP($H59,Data!$C$6:$Y$29,15,FALSE))</f>
        <v>220-240/1/50</v>
      </c>
      <c r="X59" s="2">
        <f>IF($H59="","",VLOOKUP($H59,Data!$C$6:$Y$29,16,FALSE))</f>
        <v>261</v>
      </c>
      <c r="Y59" s="2">
        <f>IF($H59="","",VLOOKUP($H59,Data!$C$6:$Y$29,17,FALSE))</f>
        <v>1200</v>
      </c>
      <c r="Z59" s="2">
        <f>IF($H59="","",VLOOKUP($H59,Data!$C$6:$Y$29,18,FALSE))</f>
        <v>448</v>
      </c>
      <c r="AA59" s="2">
        <f>IF($H59="","",VLOOKUP($H59,Data!$C$6:$Y$29,19,FALSE))</f>
        <v>753</v>
      </c>
      <c r="AB59" s="2">
        <f>IF($H59="","",VLOOKUP($H59,Data!$C$6:$Y$29,20,FALSE))</f>
        <v>855</v>
      </c>
      <c r="AC59" s="2">
        <f>IF($H59="","",VLOOKUP($H59,Data!$C$6:$Y$29,21,FALSE))</f>
        <v>328</v>
      </c>
      <c r="AD59" s="2">
        <f>IF($H59="","",VLOOKUP($H59,Data!$C$6:$Y$29,22,FALSE))</f>
        <v>26</v>
      </c>
      <c r="AE59" s="3">
        <f>IF($H59="","",VLOOKUP($H59,Data!$C$6:$Y$29,23,FALSE))</f>
        <v>47</v>
      </c>
      <c r="AG59" s="76" t="str">
        <f>IF($E59="","",IF($C59="DUCTED",VLOOKUP($E59,'DX-Data'!$D$5:$J$11,7,TRUE),IF($C59="DECORATIVE",VLOOKUP($E59,'DX-Data'!$D$19:$J$23,7,TRUE),IF($C59="PACKAGED",VLOOKUP($E59,'DX-Data'!$D$24:$J$30,7,TRUE),IF($C59="DUCTED-INV",VLOOKUP($E59,'DX-Data'!$D$12:$J$18,7,TRUE),"CHOOSE AC TYPE")))))</f>
        <v>FDMRN20AVKU - RR20AVKU</v>
      </c>
      <c r="AH59" s="76" t="str">
        <f>IF($F$9=TRUE,IF($C59="DUCTED",VLOOKUP($F59,'DX-Data'!$F$5:$J$11,5,TRUE),IF($C59="DECORATIVE",VLOOKUP($F59,'DX-Data'!$F$19:$J$23,5,TRUE),IF($C59="PACKAGED",VLOOKUP($F59,'DX-Data'!$F$24:$J$30,5,TRUE),IF($C59="DUCTED-INV",VLOOKUP($F59,'DX-Data'!$F$12:$J$18,5,TRUE),"CHOOSE AC TYPE")))),"NO SELECTION")</f>
        <v>FDMRN20AVKU - RR20AVKU</v>
      </c>
      <c r="AI59" s="76" t="str">
        <f>IF($G$9=TRUE,IF($C59="DUCTED",VLOOKUP($G59,'DX-Data'!$H$5:$J$11,3,TRUE),IF($C59="DECORATIVE",VLOOKUP($G59,'DX-Data'!$H$19:$J$23,3,TRUE),IF($C59="PACKAGED",VLOOKUP($G59,'DX-Data'!$H$24:$J$30,3,TRUE),IF($C59="DUCTED-INV",VLOOKUP($G59,'DX-Data'!$H$12:$J$18,3,TRUE),"CHOOSE AC TYPE")))),"NO SELECTION")</f>
        <v>NO SELECTION</v>
      </c>
      <c r="AJ59" s="77">
        <f>IF($E59="","",IF($C59="DUCTED",VLOOKUP($E59,'DX-Data'!$D$5:$J$11,6,TRUE),IF($C59="DECORATIVE",VLOOKUP($E59,'DX-Data'!$D$19:$J$23,6,TRUE),IF($C59="PACKAGED",VLOOKUP($E59,'DX-Data'!$D$24:$J$30,6,TRUE),IF($C59="DUCTED-INV",VLOOKUP($E59,'DX-Data'!$D$12:$J$18,6,TRUE),0)))))</f>
        <v>1</v>
      </c>
      <c r="AK59" s="77">
        <f>IF($F$9=TRUE,IF($C59="DUCTED",VLOOKUP($F59,'DX-Data'!$F$5:$J$11,4,TRUE),IF($C59="DECORATIVE",VLOOKUP($F59,'DX-Data'!$F$19:$J$23,4,TRUE),IF($C59="PACKAGED",VLOOKUP($F59,'DX-Data'!$F$24:$J$30,4,TRUE),IF($C59="DUCTED-INV",VLOOKUP($F59,'DX-Data'!$F$12:$J$18,4,TRUE),"CHOOSE AC TYPE")))),0)</f>
        <v>1</v>
      </c>
      <c r="AL59" s="77">
        <f>IF($G$9=TRUE,IF($C59="DUCTED",VLOOKUP($G59,'DX-Data'!$H$5:$J$11,2,TRUE),IF($C59="DECORATIVE",VLOOKUP($G59,'DX-Data'!$H$19:$J$23,2,TRUE),IF($C59="PACKAGED",VLOOKUP($G59,'DX-Data'!$H$24:$J$30,2,TRUE),IF($C59="DUCTED-INV",VLOOKUP($G59,'DX-Data'!$H$12:$J$18,2,TRUE),"CHOOSE AC TYPE")))),0)</f>
        <v>0</v>
      </c>
      <c r="AM59" s="77">
        <f t="shared" si="5"/>
        <v>1</v>
      </c>
      <c r="AN59" s="76" t="str">
        <f>IF(E59="","",VLOOKUP($AM59,'DX-Data'!$I$5:$J$31,2,FALSE))</f>
        <v>FDMRN20AVKU - RR20AVKU</v>
      </c>
      <c r="AO59" s="77">
        <f t="shared" si="6"/>
        <v>1</v>
      </c>
    </row>
    <row r="60" spans="2:41" x14ac:dyDescent="0.3">
      <c r="B60" s="71" t="s">
        <v>140</v>
      </c>
      <c r="C60" s="26" t="s">
        <v>38</v>
      </c>
      <c r="D60" s="27" t="s">
        <v>202</v>
      </c>
      <c r="E60" s="26">
        <v>7.4</v>
      </c>
      <c r="F60" s="26">
        <v>5.9</v>
      </c>
      <c r="G60" s="82">
        <v>486</v>
      </c>
      <c r="H60" s="74" t="str">
        <f t="shared" si="7"/>
        <v>FDMRN36AVKU - RR36AVKU</v>
      </c>
      <c r="I60" s="2">
        <f t="shared" si="8"/>
        <v>1</v>
      </c>
      <c r="J60" s="21">
        <f>IF($H60="","",VLOOKUP($H60,Data!$C$6:$Y$29,2,FALSE))</f>
        <v>3</v>
      </c>
      <c r="K60" s="2" t="str">
        <f>IF($H60="","",VLOOKUP($H60,Data!$C$6:$Y$29,3,FALSE))</f>
        <v>Non-Inverter</v>
      </c>
      <c r="L60" s="2" t="str">
        <f>IF($H60="","",VLOOKUP($H60,Data!$C$6:$Y$29,4,FALSE))</f>
        <v>R-410A</v>
      </c>
      <c r="M60" s="2" t="str">
        <f>IF($H60="","",VLOOKUP($H60,Data!$C$6:$Y$29,5,FALSE))</f>
        <v>24/16</v>
      </c>
      <c r="N60" s="2">
        <f>IF($H60="","",VLOOKUP($H60,Data!$C$6:$Y$29,6,FALSE))</f>
        <v>46</v>
      </c>
      <c r="O60" s="2">
        <f>IF($H60="","",VLOOKUP($H60,Data!$C$6:$Y$29,7,FALSE))</f>
        <v>8.42</v>
      </c>
      <c r="P60" s="2">
        <f>IF($H60="","",VLOOKUP($H60,Data!$C$6:$Y$29,8,FALSE))</f>
        <v>8.18</v>
      </c>
      <c r="Q60" s="2">
        <f>IF($H60="","",VLOOKUP($H60,Data!$C$6:$Y$29,9,FALSE))</f>
        <v>650</v>
      </c>
      <c r="R60" s="2" t="str">
        <f>IF($H60="","",VLOOKUP($H60,Data!$C$6:$Y$29,10,FALSE))</f>
        <v>MEDIUM</v>
      </c>
      <c r="S60" s="2">
        <f>IF($H60="","",VLOOKUP($H60,Data!$C$6:$Y$29,11,FALSE))</f>
        <v>3.39</v>
      </c>
      <c r="T60" s="2">
        <f>IF($H60="","",VLOOKUP($H60,Data!$C$6:$Y$29,12,FALSE))</f>
        <v>3.55</v>
      </c>
      <c r="U60" s="2">
        <f>IF($H60="","",VLOOKUP($H60,Data!$C$6:$Y$29,13,FALSE))</f>
        <v>3.56</v>
      </c>
      <c r="V60" s="2">
        <f>IF($H60="","",VLOOKUP($H60,Data!$C$6:$Y$29,14,FALSE))</f>
        <v>50</v>
      </c>
      <c r="W60" s="2" t="str">
        <f>IF($H60="","",VLOOKUP($H60,Data!$C$6:$Y$29,15,FALSE))</f>
        <v>220-240/1/50</v>
      </c>
      <c r="X60" s="2">
        <f>IF($H60="","",VLOOKUP($H60,Data!$C$6:$Y$29,16,FALSE))</f>
        <v>378</v>
      </c>
      <c r="Y60" s="2">
        <f>IF($H60="","",VLOOKUP($H60,Data!$C$6:$Y$29,17,FALSE))</f>
        <v>1369</v>
      </c>
      <c r="Z60" s="2">
        <f>IF($H60="","",VLOOKUP($H60,Data!$C$6:$Y$29,18,FALSE))</f>
        <v>541</v>
      </c>
      <c r="AA60" s="2">
        <f>IF($H60="","",VLOOKUP($H60,Data!$C$6:$Y$29,19,FALSE))</f>
        <v>852</v>
      </c>
      <c r="AB60" s="2">
        <f>IF($H60="","",VLOOKUP($H60,Data!$C$6:$Y$29,20,FALSE))</f>
        <v>1030</v>
      </c>
      <c r="AC60" s="2">
        <f>IF($H60="","",VLOOKUP($H60,Data!$C$6:$Y$29,21,FALSE))</f>
        <v>400</v>
      </c>
      <c r="AD60" s="2">
        <f>IF($H60="","",VLOOKUP($H60,Data!$C$6:$Y$29,22,FALSE))</f>
        <v>50</v>
      </c>
      <c r="AE60" s="3">
        <f>IF($H60="","",VLOOKUP($H60,Data!$C$6:$Y$29,23,FALSE))</f>
        <v>92</v>
      </c>
      <c r="AG60" s="76" t="str">
        <f>IF($E60="","",IF($C60="DUCTED",VLOOKUP($E60,'DX-Data'!$D$5:$J$11,7,TRUE),IF($C60="DECORATIVE",VLOOKUP($E60,'DX-Data'!$D$19:$J$23,7,TRUE),IF($C60="PACKAGED",VLOOKUP($E60,'DX-Data'!$D$24:$J$30,7,TRUE),IF($C60="DUCTED-INV",VLOOKUP($E60,'DX-Data'!$D$12:$J$18,7,TRUE),"CHOOSE AC TYPE")))))</f>
        <v>FDMRN36AVKU - RR36AVKU</v>
      </c>
      <c r="AH60" s="76" t="str">
        <f>IF($F$9=TRUE,IF($C60="DUCTED",VLOOKUP($F60,'DX-Data'!$F$5:$J$11,5,TRUE),IF($C60="DECORATIVE",VLOOKUP($F60,'DX-Data'!$F$19:$J$23,5,TRUE),IF($C60="PACKAGED",VLOOKUP($F60,'DX-Data'!$F$24:$J$30,5,TRUE),IF($C60="DUCTED-INV",VLOOKUP($F60,'DX-Data'!$F$12:$J$18,5,TRUE),"CHOOSE AC TYPE")))),"NO SELECTION")</f>
        <v>FDMRN30AVKU - RR30AVKU</v>
      </c>
      <c r="AI60" s="76" t="str">
        <f>IF($G$9=TRUE,IF($C60="DUCTED",VLOOKUP($G60,'DX-Data'!$H$5:$J$11,3,TRUE),IF($C60="DECORATIVE",VLOOKUP($G60,'DX-Data'!$H$19:$J$23,3,TRUE),IF($C60="PACKAGED",VLOOKUP($G60,'DX-Data'!$H$24:$J$30,3,TRUE),IF($C60="DUCTED-INV",VLOOKUP($G60,'DX-Data'!$H$12:$J$18,3,TRUE),"CHOOSE AC TYPE")))),"NO SELECTION")</f>
        <v>NO SELECTION</v>
      </c>
      <c r="AJ60" s="77">
        <f>IF($E60="","",IF($C60="DUCTED",VLOOKUP($E60,'DX-Data'!$D$5:$J$11,6,TRUE),IF($C60="DECORATIVE",VLOOKUP($E60,'DX-Data'!$D$19:$J$23,6,TRUE),IF($C60="PACKAGED",VLOOKUP($E60,'DX-Data'!$D$24:$J$30,6,TRUE),IF($C60="DUCTED-INV",VLOOKUP($E60,'DX-Data'!$D$12:$J$18,6,TRUE),0)))))</f>
        <v>4</v>
      </c>
      <c r="AK60" s="77">
        <f>IF($F$9=TRUE,IF($C60="DUCTED",VLOOKUP($F60,'DX-Data'!$F$5:$J$11,4,TRUE),IF($C60="DECORATIVE",VLOOKUP($F60,'DX-Data'!$F$19:$J$23,4,TRUE),IF($C60="PACKAGED",VLOOKUP($F60,'DX-Data'!$F$24:$J$30,4,TRUE),IF($C60="DUCTED-INV",VLOOKUP($F60,'DX-Data'!$F$12:$J$18,4,TRUE),"CHOOSE AC TYPE")))),0)</f>
        <v>3</v>
      </c>
      <c r="AL60" s="77">
        <f>IF($G$9=TRUE,IF($C60="DUCTED",VLOOKUP($G60,'DX-Data'!$H$5:$J$11,2,TRUE),IF($C60="DECORATIVE",VLOOKUP($G60,'DX-Data'!$H$19:$J$23,2,TRUE),IF($C60="PACKAGED",VLOOKUP($G60,'DX-Data'!$H$24:$J$30,2,TRUE),IF($C60="DUCTED-INV",VLOOKUP($G60,'DX-Data'!$H$12:$J$18,2,TRUE),"CHOOSE AC TYPE")))),0)</f>
        <v>0</v>
      </c>
      <c r="AM60" s="77">
        <f t="shared" si="5"/>
        <v>4</v>
      </c>
      <c r="AN60" s="76" t="str">
        <f>IF(E60="","",VLOOKUP($AM60,'DX-Data'!$I$5:$J$31,2,FALSE))</f>
        <v>FDMRN36AVKU - RR36AVKU</v>
      </c>
      <c r="AO60" s="77">
        <f t="shared" si="6"/>
        <v>1</v>
      </c>
    </row>
    <row r="61" spans="2:41" x14ac:dyDescent="0.3">
      <c r="B61" s="71" t="s">
        <v>141</v>
      </c>
      <c r="C61" s="26" t="s">
        <v>38</v>
      </c>
      <c r="D61" s="27" t="s">
        <v>203</v>
      </c>
      <c r="E61" s="26">
        <v>7.6</v>
      </c>
      <c r="F61" s="26">
        <v>6.2</v>
      </c>
      <c r="G61" s="82">
        <v>514</v>
      </c>
      <c r="H61" s="74" t="str">
        <f t="shared" si="7"/>
        <v>FDMRN36AVKU - RR36AVKU</v>
      </c>
      <c r="I61" s="2">
        <f t="shared" si="8"/>
        <v>1</v>
      </c>
      <c r="J61" s="21">
        <f>IF($H61="","",VLOOKUP($H61,Data!$C$6:$Y$29,2,FALSE))</f>
        <v>3</v>
      </c>
      <c r="K61" s="2" t="str">
        <f>IF($H61="","",VLOOKUP($H61,Data!$C$6:$Y$29,3,FALSE))</f>
        <v>Non-Inverter</v>
      </c>
      <c r="L61" s="2" t="str">
        <f>IF($H61="","",VLOOKUP($H61,Data!$C$6:$Y$29,4,FALSE))</f>
        <v>R-410A</v>
      </c>
      <c r="M61" s="2" t="str">
        <f>IF($H61="","",VLOOKUP($H61,Data!$C$6:$Y$29,5,FALSE))</f>
        <v>24/16</v>
      </c>
      <c r="N61" s="2">
        <f>IF($H61="","",VLOOKUP($H61,Data!$C$6:$Y$29,6,FALSE))</f>
        <v>46</v>
      </c>
      <c r="O61" s="2">
        <f>IF($H61="","",VLOOKUP($H61,Data!$C$6:$Y$29,7,FALSE))</f>
        <v>8.42</v>
      </c>
      <c r="P61" s="2">
        <f>IF($H61="","",VLOOKUP($H61,Data!$C$6:$Y$29,8,FALSE))</f>
        <v>8.18</v>
      </c>
      <c r="Q61" s="2">
        <f>IF($H61="","",VLOOKUP($H61,Data!$C$6:$Y$29,9,FALSE))</f>
        <v>650</v>
      </c>
      <c r="R61" s="2" t="str">
        <f>IF($H61="","",VLOOKUP($H61,Data!$C$6:$Y$29,10,FALSE))</f>
        <v>MEDIUM</v>
      </c>
      <c r="S61" s="2">
        <f>IF($H61="","",VLOOKUP($H61,Data!$C$6:$Y$29,11,FALSE))</f>
        <v>3.39</v>
      </c>
      <c r="T61" s="2">
        <f>IF($H61="","",VLOOKUP($H61,Data!$C$6:$Y$29,12,FALSE))</f>
        <v>3.55</v>
      </c>
      <c r="U61" s="2">
        <f>IF($H61="","",VLOOKUP($H61,Data!$C$6:$Y$29,13,FALSE))</f>
        <v>3.56</v>
      </c>
      <c r="V61" s="2">
        <f>IF($H61="","",VLOOKUP($H61,Data!$C$6:$Y$29,14,FALSE))</f>
        <v>50</v>
      </c>
      <c r="W61" s="2" t="str">
        <f>IF($H61="","",VLOOKUP($H61,Data!$C$6:$Y$29,15,FALSE))</f>
        <v>220-240/1/50</v>
      </c>
      <c r="X61" s="2">
        <f>IF($H61="","",VLOOKUP($H61,Data!$C$6:$Y$29,16,FALSE))</f>
        <v>378</v>
      </c>
      <c r="Y61" s="2">
        <f>IF($H61="","",VLOOKUP($H61,Data!$C$6:$Y$29,17,FALSE))</f>
        <v>1369</v>
      </c>
      <c r="Z61" s="2">
        <f>IF($H61="","",VLOOKUP($H61,Data!$C$6:$Y$29,18,FALSE))</f>
        <v>541</v>
      </c>
      <c r="AA61" s="2">
        <f>IF($H61="","",VLOOKUP($H61,Data!$C$6:$Y$29,19,FALSE))</f>
        <v>852</v>
      </c>
      <c r="AB61" s="2">
        <f>IF($H61="","",VLOOKUP($H61,Data!$C$6:$Y$29,20,FALSE))</f>
        <v>1030</v>
      </c>
      <c r="AC61" s="2">
        <f>IF($H61="","",VLOOKUP($H61,Data!$C$6:$Y$29,21,FALSE))</f>
        <v>400</v>
      </c>
      <c r="AD61" s="2">
        <f>IF($H61="","",VLOOKUP($H61,Data!$C$6:$Y$29,22,FALSE))</f>
        <v>50</v>
      </c>
      <c r="AE61" s="3">
        <f>IF($H61="","",VLOOKUP($H61,Data!$C$6:$Y$29,23,FALSE))</f>
        <v>92</v>
      </c>
      <c r="AG61" s="76" t="str">
        <f>IF($E61="","",IF($C61="DUCTED",VLOOKUP($E61,'DX-Data'!$D$5:$J$11,7,TRUE),IF($C61="DECORATIVE",VLOOKUP($E61,'DX-Data'!$D$19:$J$23,7,TRUE),IF($C61="PACKAGED",VLOOKUP($E61,'DX-Data'!$D$24:$J$30,7,TRUE),IF($C61="DUCTED-INV",VLOOKUP($E61,'DX-Data'!$D$12:$J$18,7,TRUE),"CHOOSE AC TYPE")))))</f>
        <v>FDMRN36AVKU - RR36AVKU</v>
      </c>
      <c r="AH61" s="76" t="str">
        <f>IF($F$9=TRUE,IF($C61="DUCTED",VLOOKUP($F61,'DX-Data'!$F$5:$J$11,5,TRUE),IF($C61="DECORATIVE",VLOOKUP($F61,'DX-Data'!$F$19:$J$23,5,TRUE),IF($C61="PACKAGED",VLOOKUP($F61,'DX-Data'!$F$24:$J$30,5,TRUE),IF($C61="DUCTED-INV",VLOOKUP($F61,'DX-Data'!$F$12:$J$18,5,TRUE),"CHOOSE AC TYPE")))),"NO SELECTION")</f>
        <v>FDMRN30AVKU - RR30AVKU</v>
      </c>
      <c r="AI61" s="76" t="str">
        <f>IF($G$9=TRUE,IF($C61="DUCTED",VLOOKUP($G61,'DX-Data'!$H$5:$J$11,3,TRUE),IF($C61="DECORATIVE",VLOOKUP($G61,'DX-Data'!$H$19:$J$23,3,TRUE),IF($C61="PACKAGED",VLOOKUP($G61,'DX-Data'!$H$24:$J$30,3,TRUE),IF($C61="DUCTED-INV",VLOOKUP($G61,'DX-Data'!$H$12:$J$18,3,TRUE),"CHOOSE AC TYPE")))),"NO SELECTION")</f>
        <v>NO SELECTION</v>
      </c>
      <c r="AJ61" s="77">
        <f>IF($E61="","",IF($C61="DUCTED",VLOOKUP($E61,'DX-Data'!$D$5:$J$11,6,TRUE),IF($C61="DECORATIVE",VLOOKUP($E61,'DX-Data'!$D$19:$J$23,6,TRUE),IF($C61="PACKAGED",VLOOKUP($E61,'DX-Data'!$D$24:$J$30,6,TRUE),IF($C61="DUCTED-INV",VLOOKUP($E61,'DX-Data'!$D$12:$J$18,6,TRUE),0)))))</f>
        <v>4</v>
      </c>
      <c r="AK61" s="77">
        <f>IF($F$9=TRUE,IF($C61="DUCTED",VLOOKUP($F61,'DX-Data'!$F$5:$J$11,4,TRUE),IF($C61="DECORATIVE",VLOOKUP($F61,'DX-Data'!$F$19:$J$23,4,TRUE),IF($C61="PACKAGED",VLOOKUP($F61,'DX-Data'!$F$24:$J$30,4,TRUE),IF($C61="DUCTED-INV",VLOOKUP($F61,'DX-Data'!$F$12:$J$18,4,TRUE),"CHOOSE AC TYPE")))),0)</f>
        <v>3</v>
      </c>
      <c r="AL61" s="77">
        <f>IF($G$9=TRUE,IF($C61="DUCTED",VLOOKUP($G61,'DX-Data'!$H$5:$J$11,2,TRUE),IF($C61="DECORATIVE",VLOOKUP($G61,'DX-Data'!$H$19:$J$23,2,TRUE),IF($C61="PACKAGED",VLOOKUP($G61,'DX-Data'!$H$24:$J$30,2,TRUE),IF($C61="DUCTED-INV",VLOOKUP($G61,'DX-Data'!$H$12:$J$18,2,TRUE),"CHOOSE AC TYPE")))),0)</f>
        <v>0</v>
      </c>
      <c r="AM61" s="77">
        <f t="shared" si="5"/>
        <v>4</v>
      </c>
      <c r="AN61" s="76" t="str">
        <f>IF(E61="","",VLOOKUP($AM61,'DX-Data'!$I$5:$J$31,2,FALSE))</f>
        <v>FDMRN36AVKU - RR36AVKU</v>
      </c>
      <c r="AO61" s="77">
        <f t="shared" si="6"/>
        <v>1</v>
      </c>
    </row>
    <row r="62" spans="2:41" x14ac:dyDescent="0.3">
      <c r="B62" s="71" t="s">
        <v>142</v>
      </c>
      <c r="C62" s="26" t="s">
        <v>38</v>
      </c>
      <c r="D62" s="27" t="s">
        <v>204</v>
      </c>
      <c r="E62" s="26">
        <v>4.3</v>
      </c>
      <c r="F62" s="26">
        <v>3.6</v>
      </c>
      <c r="G62" s="82">
        <v>293</v>
      </c>
      <c r="H62" s="74" t="str">
        <f t="shared" si="7"/>
        <v>FDMRN25AVKU - RR25AVKU</v>
      </c>
      <c r="I62" s="2">
        <f t="shared" si="8"/>
        <v>1</v>
      </c>
      <c r="J62" s="21">
        <f>IF($H62="","",VLOOKUP($H62,Data!$C$6:$Y$29,2,FALSE))</f>
        <v>2</v>
      </c>
      <c r="K62" s="2" t="str">
        <f>IF($H62="","",VLOOKUP($H62,Data!$C$6:$Y$29,3,FALSE))</f>
        <v>Non-Inverter</v>
      </c>
      <c r="L62" s="2" t="str">
        <f>IF($H62="","",VLOOKUP($H62,Data!$C$6:$Y$29,4,FALSE))</f>
        <v>R-410A</v>
      </c>
      <c r="M62" s="2" t="str">
        <f>IF($H62="","",VLOOKUP($H62,Data!$C$6:$Y$29,5,FALSE))</f>
        <v>24/16</v>
      </c>
      <c r="N62" s="2">
        <f>IF($H62="","",VLOOKUP($H62,Data!$C$6:$Y$29,6,FALSE))</f>
        <v>46</v>
      </c>
      <c r="O62" s="2">
        <f>IF($H62="","",VLOOKUP($H62,Data!$C$6:$Y$29,7,FALSE))</f>
        <v>5.48</v>
      </c>
      <c r="P62" s="2">
        <f>IF($H62="","",VLOOKUP($H62,Data!$C$6:$Y$29,8,FALSE))</f>
        <v>5.05</v>
      </c>
      <c r="Q62" s="2">
        <f>IF($H62="","",VLOOKUP($H62,Data!$C$6:$Y$29,9,FALSE))</f>
        <v>303</v>
      </c>
      <c r="R62" s="2" t="str">
        <f>IF($H62="","",VLOOKUP($H62,Data!$C$6:$Y$29,10,FALSE))</f>
        <v>MEDIUM</v>
      </c>
      <c r="S62" s="2">
        <f>IF($H62="","",VLOOKUP($H62,Data!$C$6:$Y$29,11,FALSE))</f>
        <v>2.29</v>
      </c>
      <c r="T62" s="2">
        <f>IF($H62="","",VLOOKUP($H62,Data!$C$6:$Y$29,12,FALSE))</f>
        <v>2.35</v>
      </c>
      <c r="U62" s="2">
        <f>IF($H62="","",VLOOKUP($H62,Data!$C$6:$Y$29,13,FALSE))</f>
        <v>3.44</v>
      </c>
      <c r="V62" s="2">
        <f>IF($H62="","",VLOOKUP($H62,Data!$C$6:$Y$29,14,FALSE))</f>
        <v>40</v>
      </c>
      <c r="W62" s="2" t="str">
        <f>IF($H62="","",VLOOKUP($H62,Data!$C$6:$Y$29,15,FALSE))</f>
        <v>220-240/1/50</v>
      </c>
      <c r="X62" s="2">
        <f>IF($H62="","",VLOOKUP($H62,Data!$C$6:$Y$29,16,FALSE))</f>
        <v>378</v>
      </c>
      <c r="Y62" s="2">
        <f>IF($H62="","",VLOOKUP($H62,Data!$C$6:$Y$29,17,FALSE))</f>
        <v>1115</v>
      </c>
      <c r="Z62" s="2">
        <f>IF($H62="","",VLOOKUP($H62,Data!$C$6:$Y$29,18,FALSE))</f>
        <v>541</v>
      </c>
      <c r="AA62" s="2">
        <f>IF($H62="","",VLOOKUP($H62,Data!$C$6:$Y$29,19,FALSE))</f>
        <v>753</v>
      </c>
      <c r="AB62" s="2">
        <f>IF($H62="","",VLOOKUP($H62,Data!$C$6:$Y$29,20,FALSE))</f>
        <v>855</v>
      </c>
      <c r="AC62" s="2">
        <f>IF($H62="","",VLOOKUP($H62,Data!$C$6:$Y$29,21,FALSE))</f>
        <v>328</v>
      </c>
      <c r="AD62" s="2">
        <f>IF($H62="","",VLOOKUP($H62,Data!$C$6:$Y$29,22,FALSE))</f>
        <v>44</v>
      </c>
      <c r="AE62" s="3">
        <f>IF($H62="","",VLOOKUP($H62,Data!$C$6:$Y$29,23,FALSE))</f>
        <v>51</v>
      </c>
      <c r="AG62" s="76" t="str">
        <f>IF($E62="","",IF($C62="DUCTED",VLOOKUP($E62,'DX-Data'!$D$5:$J$11,7,TRUE),IF($C62="DECORATIVE",VLOOKUP($E62,'DX-Data'!$D$19:$J$23,7,TRUE),IF($C62="PACKAGED",VLOOKUP($E62,'DX-Data'!$D$24:$J$30,7,TRUE),IF($C62="DUCTED-INV",VLOOKUP($E62,'DX-Data'!$D$12:$J$18,7,TRUE),"CHOOSE AC TYPE")))))</f>
        <v>FDMRN25AVKU - RR25AVKU</v>
      </c>
      <c r="AH62" s="76" t="str">
        <f>IF($F$9=TRUE,IF($C62="DUCTED",VLOOKUP($F62,'DX-Data'!$F$5:$J$11,5,TRUE),IF($C62="DECORATIVE",VLOOKUP($F62,'DX-Data'!$F$19:$J$23,5,TRUE),IF($C62="PACKAGED",VLOOKUP($F62,'DX-Data'!$F$24:$J$30,5,TRUE),IF($C62="DUCTED-INV",VLOOKUP($F62,'DX-Data'!$F$12:$J$18,5,TRUE),"CHOOSE AC TYPE")))),"NO SELECTION")</f>
        <v>FDMRN20AVKU - RR20AVKU</v>
      </c>
      <c r="AI62" s="76" t="str">
        <f>IF($G$9=TRUE,IF($C62="DUCTED",VLOOKUP($G62,'DX-Data'!$H$5:$J$11,3,TRUE),IF($C62="DECORATIVE",VLOOKUP($G62,'DX-Data'!$H$19:$J$23,3,TRUE),IF($C62="PACKAGED",VLOOKUP($G62,'DX-Data'!$H$24:$J$30,3,TRUE),IF($C62="DUCTED-INV",VLOOKUP($G62,'DX-Data'!$H$12:$J$18,3,TRUE),"CHOOSE AC TYPE")))),"NO SELECTION")</f>
        <v>NO SELECTION</v>
      </c>
      <c r="AJ62" s="77">
        <f>IF($E62="","",IF($C62="DUCTED",VLOOKUP($E62,'DX-Data'!$D$5:$J$11,6,TRUE),IF($C62="DECORATIVE",VLOOKUP($E62,'DX-Data'!$D$19:$J$23,6,TRUE),IF($C62="PACKAGED",VLOOKUP($E62,'DX-Data'!$D$24:$J$30,6,TRUE),IF($C62="DUCTED-INV",VLOOKUP($E62,'DX-Data'!$D$12:$J$18,6,TRUE),0)))))</f>
        <v>2</v>
      </c>
      <c r="AK62" s="77">
        <f>IF($F$9=TRUE,IF($C62="DUCTED",VLOOKUP($F62,'DX-Data'!$F$5:$J$11,4,TRUE),IF($C62="DECORATIVE",VLOOKUP($F62,'DX-Data'!$F$19:$J$23,4,TRUE),IF($C62="PACKAGED",VLOOKUP($F62,'DX-Data'!$F$24:$J$30,4,TRUE),IF($C62="DUCTED-INV",VLOOKUP($F62,'DX-Data'!$F$12:$J$18,4,TRUE),"CHOOSE AC TYPE")))),0)</f>
        <v>1</v>
      </c>
      <c r="AL62" s="77">
        <f>IF($G$9=TRUE,IF($C62="DUCTED",VLOOKUP($G62,'DX-Data'!$H$5:$J$11,2,TRUE),IF($C62="DECORATIVE",VLOOKUP($G62,'DX-Data'!$H$19:$J$23,2,TRUE),IF($C62="PACKAGED",VLOOKUP($G62,'DX-Data'!$H$24:$J$30,2,TRUE),IF($C62="DUCTED-INV",VLOOKUP($G62,'DX-Data'!$H$12:$J$18,2,TRUE),"CHOOSE AC TYPE")))),0)</f>
        <v>0</v>
      </c>
      <c r="AM62" s="77">
        <f t="shared" si="5"/>
        <v>2</v>
      </c>
      <c r="AN62" s="76" t="str">
        <f>IF(E62="","",VLOOKUP($AM62,'DX-Data'!$I$5:$J$31,2,FALSE))</f>
        <v>FDMRN25AVKU - RR25AVKU</v>
      </c>
      <c r="AO62" s="77">
        <f t="shared" si="6"/>
        <v>1</v>
      </c>
    </row>
    <row r="63" spans="2:41" x14ac:dyDescent="0.3">
      <c r="B63" s="71" t="s">
        <v>143</v>
      </c>
      <c r="C63" s="26" t="s">
        <v>38</v>
      </c>
      <c r="D63" s="27" t="s">
        <v>205</v>
      </c>
      <c r="E63" s="26">
        <v>4.8</v>
      </c>
      <c r="F63" s="26">
        <v>4</v>
      </c>
      <c r="G63" s="82">
        <v>335</v>
      </c>
      <c r="H63" s="74" t="str">
        <f t="shared" si="7"/>
        <v>FDMRN25AVKU - RR25AVKU</v>
      </c>
      <c r="I63" s="2">
        <f t="shared" si="8"/>
        <v>1</v>
      </c>
      <c r="J63" s="21">
        <f>IF($H63="","",VLOOKUP($H63,Data!$C$6:$Y$29,2,FALSE))</f>
        <v>2</v>
      </c>
      <c r="K63" s="2" t="str">
        <f>IF($H63="","",VLOOKUP($H63,Data!$C$6:$Y$29,3,FALSE))</f>
        <v>Non-Inverter</v>
      </c>
      <c r="L63" s="2" t="str">
        <f>IF($H63="","",VLOOKUP($H63,Data!$C$6:$Y$29,4,FALSE))</f>
        <v>R-410A</v>
      </c>
      <c r="M63" s="2" t="str">
        <f>IF($H63="","",VLOOKUP($H63,Data!$C$6:$Y$29,5,FALSE))</f>
        <v>24/16</v>
      </c>
      <c r="N63" s="2">
        <f>IF($H63="","",VLOOKUP($H63,Data!$C$6:$Y$29,6,FALSE))</f>
        <v>46</v>
      </c>
      <c r="O63" s="2">
        <f>IF($H63="","",VLOOKUP($H63,Data!$C$6:$Y$29,7,FALSE))</f>
        <v>5.48</v>
      </c>
      <c r="P63" s="2">
        <f>IF($H63="","",VLOOKUP($H63,Data!$C$6:$Y$29,8,FALSE))</f>
        <v>5.05</v>
      </c>
      <c r="Q63" s="2">
        <f>IF($H63="","",VLOOKUP($H63,Data!$C$6:$Y$29,9,FALSE))</f>
        <v>303</v>
      </c>
      <c r="R63" s="2" t="str">
        <f>IF($H63="","",VLOOKUP($H63,Data!$C$6:$Y$29,10,FALSE))</f>
        <v>MEDIUM</v>
      </c>
      <c r="S63" s="2">
        <f>IF($H63="","",VLOOKUP($H63,Data!$C$6:$Y$29,11,FALSE))</f>
        <v>2.29</v>
      </c>
      <c r="T63" s="2">
        <f>IF($H63="","",VLOOKUP($H63,Data!$C$6:$Y$29,12,FALSE))</f>
        <v>2.35</v>
      </c>
      <c r="U63" s="2">
        <f>IF($H63="","",VLOOKUP($H63,Data!$C$6:$Y$29,13,FALSE))</f>
        <v>3.44</v>
      </c>
      <c r="V63" s="2">
        <f>IF($H63="","",VLOOKUP($H63,Data!$C$6:$Y$29,14,FALSE))</f>
        <v>40</v>
      </c>
      <c r="W63" s="2" t="str">
        <f>IF($H63="","",VLOOKUP($H63,Data!$C$6:$Y$29,15,FALSE))</f>
        <v>220-240/1/50</v>
      </c>
      <c r="X63" s="2">
        <f>IF($H63="","",VLOOKUP($H63,Data!$C$6:$Y$29,16,FALSE))</f>
        <v>378</v>
      </c>
      <c r="Y63" s="2">
        <f>IF($H63="","",VLOOKUP($H63,Data!$C$6:$Y$29,17,FALSE))</f>
        <v>1115</v>
      </c>
      <c r="Z63" s="2">
        <f>IF($H63="","",VLOOKUP($H63,Data!$C$6:$Y$29,18,FALSE))</f>
        <v>541</v>
      </c>
      <c r="AA63" s="2">
        <f>IF($H63="","",VLOOKUP($H63,Data!$C$6:$Y$29,19,FALSE))</f>
        <v>753</v>
      </c>
      <c r="AB63" s="2">
        <f>IF($H63="","",VLOOKUP($H63,Data!$C$6:$Y$29,20,FALSE))</f>
        <v>855</v>
      </c>
      <c r="AC63" s="2">
        <f>IF($H63="","",VLOOKUP($H63,Data!$C$6:$Y$29,21,FALSE))</f>
        <v>328</v>
      </c>
      <c r="AD63" s="2">
        <f>IF($H63="","",VLOOKUP($H63,Data!$C$6:$Y$29,22,FALSE))</f>
        <v>44</v>
      </c>
      <c r="AE63" s="3">
        <f>IF($H63="","",VLOOKUP($H63,Data!$C$6:$Y$29,23,FALSE))</f>
        <v>51</v>
      </c>
      <c r="AG63" s="76" t="str">
        <f>IF($E63="","",IF($C63="DUCTED",VLOOKUP($E63,'DX-Data'!$D$5:$J$11,7,TRUE),IF($C63="DECORATIVE",VLOOKUP($E63,'DX-Data'!$D$19:$J$23,7,TRUE),IF($C63="PACKAGED",VLOOKUP($E63,'DX-Data'!$D$24:$J$30,7,TRUE),IF($C63="DUCTED-INV",VLOOKUP($E63,'DX-Data'!$D$12:$J$18,7,TRUE),"CHOOSE AC TYPE")))))</f>
        <v>FDMRN25AVKU - RR25AVKU</v>
      </c>
      <c r="AH63" s="76" t="str">
        <f>IF($F$9=TRUE,IF($C63="DUCTED",VLOOKUP($F63,'DX-Data'!$F$5:$J$11,5,TRUE),IF($C63="DECORATIVE",VLOOKUP($F63,'DX-Data'!$F$19:$J$23,5,TRUE),IF($C63="PACKAGED",VLOOKUP($F63,'DX-Data'!$F$24:$J$30,5,TRUE),IF($C63="DUCTED-INV",VLOOKUP($F63,'DX-Data'!$F$12:$J$18,5,TRUE),"CHOOSE AC TYPE")))),"NO SELECTION")</f>
        <v>FDMRN20AVKU - RR20AVKU</v>
      </c>
      <c r="AI63" s="76" t="str">
        <f>IF($G$9=TRUE,IF($C63="DUCTED",VLOOKUP($G63,'DX-Data'!$H$5:$J$11,3,TRUE),IF($C63="DECORATIVE",VLOOKUP($G63,'DX-Data'!$H$19:$J$23,3,TRUE),IF($C63="PACKAGED",VLOOKUP($G63,'DX-Data'!$H$24:$J$30,3,TRUE),IF($C63="DUCTED-INV",VLOOKUP($G63,'DX-Data'!$H$12:$J$18,3,TRUE),"CHOOSE AC TYPE")))),"NO SELECTION")</f>
        <v>NO SELECTION</v>
      </c>
      <c r="AJ63" s="77">
        <f>IF($E63="","",IF($C63="DUCTED",VLOOKUP($E63,'DX-Data'!$D$5:$J$11,6,TRUE),IF($C63="DECORATIVE",VLOOKUP($E63,'DX-Data'!$D$19:$J$23,6,TRUE),IF($C63="PACKAGED",VLOOKUP($E63,'DX-Data'!$D$24:$J$30,6,TRUE),IF($C63="DUCTED-INV",VLOOKUP($E63,'DX-Data'!$D$12:$J$18,6,TRUE),0)))))</f>
        <v>2</v>
      </c>
      <c r="AK63" s="77">
        <f>IF($F$9=TRUE,IF($C63="DUCTED",VLOOKUP($F63,'DX-Data'!$F$5:$J$11,4,TRUE),IF($C63="DECORATIVE",VLOOKUP($F63,'DX-Data'!$F$19:$J$23,4,TRUE),IF($C63="PACKAGED",VLOOKUP($F63,'DX-Data'!$F$24:$J$30,4,TRUE),IF($C63="DUCTED-INV",VLOOKUP($F63,'DX-Data'!$F$12:$J$18,4,TRUE),"CHOOSE AC TYPE")))),0)</f>
        <v>1</v>
      </c>
      <c r="AL63" s="77">
        <f>IF($G$9=TRUE,IF($C63="DUCTED",VLOOKUP($G63,'DX-Data'!$H$5:$J$11,2,TRUE),IF($C63="DECORATIVE",VLOOKUP($G63,'DX-Data'!$H$19:$J$23,2,TRUE),IF($C63="PACKAGED",VLOOKUP($G63,'DX-Data'!$H$24:$J$30,2,TRUE),IF($C63="DUCTED-INV",VLOOKUP($G63,'DX-Data'!$H$12:$J$18,2,TRUE),"CHOOSE AC TYPE")))),0)</f>
        <v>0</v>
      </c>
      <c r="AM63" s="77">
        <f t="shared" si="5"/>
        <v>2</v>
      </c>
      <c r="AN63" s="76" t="str">
        <f>IF(E63="","",VLOOKUP($AM63,'DX-Data'!$I$5:$J$31,2,FALSE))</f>
        <v>FDMRN25AVKU - RR25AVKU</v>
      </c>
      <c r="AO63" s="77">
        <f t="shared" si="6"/>
        <v>1</v>
      </c>
    </row>
    <row r="64" spans="2:41" x14ac:dyDescent="0.3">
      <c r="B64" s="71" t="s">
        <v>144</v>
      </c>
      <c r="C64" s="26" t="s">
        <v>38</v>
      </c>
      <c r="D64" s="27" t="s">
        <v>207</v>
      </c>
      <c r="E64" s="26">
        <v>4.9000000000000004</v>
      </c>
      <c r="F64" s="26">
        <v>3.8</v>
      </c>
      <c r="G64" s="82">
        <v>314</v>
      </c>
      <c r="H64" s="74" t="str">
        <f t="shared" si="7"/>
        <v>FDMRN25AVKU - RR25AVKU</v>
      </c>
      <c r="I64" s="2">
        <f t="shared" si="8"/>
        <v>1</v>
      </c>
      <c r="J64" s="21">
        <f>IF($H64="","",VLOOKUP($H64,Data!$C$6:$Y$29,2,FALSE))</f>
        <v>2</v>
      </c>
      <c r="K64" s="2" t="str">
        <f>IF($H64="","",VLOOKUP($H64,Data!$C$6:$Y$29,3,FALSE))</f>
        <v>Non-Inverter</v>
      </c>
      <c r="L64" s="2" t="str">
        <f>IF($H64="","",VLOOKUP($H64,Data!$C$6:$Y$29,4,FALSE))</f>
        <v>R-410A</v>
      </c>
      <c r="M64" s="2" t="str">
        <f>IF($H64="","",VLOOKUP($H64,Data!$C$6:$Y$29,5,FALSE))</f>
        <v>24/16</v>
      </c>
      <c r="N64" s="2">
        <f>IF($H64="","",VLOOKUP($H64,Data!$C$6:$Y$29,6,FALSE))</f>
        <v>46</v>
      </c>
      <c r="O64" s="2">
        <f>IF($H64="","",VLOOKUP($H64,Data!$C$6:$Y$29,7,FALSE))</f>
        <v>5.48</v>
      </c>
      <c r="P64" s="2">
        <f>IF($H64="","",VLOOKUP($H64,Data!$C$6:$Y$29,8,FALSE))</f>
        <v>5.05</v>
      </c>
      <c r="Q64" s="2">
        <f>IF($H64="","",VLOOKUP($H64,Data!$C$6:$Y$29,9,FALSE))</f>
        <v>303</v>
      </c>
      <c r="R64" s="2" t="str">
        <f>IF($H64="","",VLOOKUP($H64,Data!$C$6:$Y$29,10,FALSE))</f>
        <v>MEDIUM</v>
      </c>
      <c r="S64" s="2">
        <f>IF($H64="","",VLOOKUP($H64,Data!$C$6:$Y$29,11,FALSE))</f>
        <v>2.29</v>
      </c>
      <c r="T64" s="2">
        <f>IF($H64="","",VLOOKUP($H64,Data!$C$6:$Y$29,12,FALSE))</f>
        <v>2.35</v>
      </c>
      <c r="U64" s="2">
        <f>IF($H64="","",VLOOKUP($H64,Data!$C$6:$Y$29,13,FALSE))</f>
        <v>3.44</v>
      </c>
      <c r="V64" s="2">
        <f>IF($H64="","",VLOOKUP($H64,Data!$C$6:$Y$29,14,FALSE))</f>
        <v>40</v>
      </c>
      <c r="W64" s="2" t="str">
        <f>IF($H64="","",VLOOKUP($H64,Data!$C$6:$Y$29,15,FALSE))</f>
        <v>220-240/1/50</v>
      </c>
      <c r="X64" s="2">
        <f>IF($H64="","",VLOOKUP($H64,Data!$C$6:$Y$29,16,FALSE))</f>
        <v>378</v>
      </c>
      <c r="Y64" s="2">
        <f>IF($H64="","",VLOOKUP($H64,Data!$C$6:$Y$29,17,FALSE))</f>
        <v>1115</v>
      </c>
      <c r="Z64" s="2">
        <f>IF($H64="","",VLOOKUP($H64,Data!$C$6:$Y$29,18,FALSE))</f>
        <v>541</v>
      </c>
      <c r="AA64" s="2">
        <f>IF($H64="","",VLOOKUP($H64,Data!$C$6:$Y$29,19,FALSE))</f>
        <v>753</v>
      </c>
      <c r="AB64" s="2">
        <f>IF($H64="","",VLOOKUP($H64,Data!$C$6:$Y$29,20,FALSE))</f>
        <v>855</v>
      </c>
      <c r="AC64" s="2">
        <f>IF($H64="","",VLOOKUP($H64,Data!$C$6:$Y$29,21,FALSE))</f>
        <v>328</v>
      </c>
      <c r="AD64" s="2">
        <f>IF($H64="","",VLOOKUP($H64,Data!$C$6:$Y$29,22,FALSE))</f>
        <v>44</v>
      </c>
      <c r="AE64" s="3">
        <f>IF($H64="","",VLOOKUP($H64,Data!$C$6:$Y$29,23,FALSE))</f>
        <v>51</v>
      </c>
      <c r="AG64" s="76" t="str">
        <f>IF($E64="","",IF($C64="DUCTED",VLOOKUP($E64,'DX-Data'!$D$5:$J$11,7,TRUE),IF($C64="DECORATIVE",VLOOKUP($E64,'DX-Data'!$D$19:$J$23,7,TRUE),IF($C64="PACKAGED",VLOOKUP($E64,'DX-Data'!$D$24:$J$30,7,TRUE),IF($C64="DUCTED-INV",VLOOKUP($E64,'DX-Data'!$D$12:$J$18,7,TRUE),"CHOOSE AC TYPE")))))</f>
        <v>FDMRN25AVKU - RR25AVKU</v>
      </c>
      <c r="AH64" s="76" t="str">
        <f>IF($F$9=TRUE,IF($C64="DUCTED",VLOOKUP($F64,'DX-Data'!$F$5:$J$11,5,TRUE),IF($C64="DECORATIVE",VLOOKUP($F64,'DX-Data'!$F$19:$J$23,5,TRUE),IF($C64="PACKAGED",VLOOKUP($F64,'DX-Data'!$F$24:$J$30,5,TRUE),IF($C64="DUCTED-INV",VLOOKUP($F64,'DX-Data'!$F$12:$J$18,5,TRUE),"CHOOSE AC TYPE")))),"NO SELECTION")</f>
        <v>FDMRN20AVKU - RR20AVKU</v>
      </c>
      <c r="AI64" s="76" t="str">
        <f>IF($G$9=TRUE,IF($C64="DUCTED",VLOOKUP($G64,'DX-Data'!$H$5:$J$11,3,TRUE),IF($C64="DECORATIVE",VLOOKUP($G64,'DX-Data'!$H$19:$J$23,3,TRUE),IF($C64="PACKAGED",VLOOKUP($G64,'DX-Data'!$H$24:$J$30,3,TRUE),IF($C64="DUCTED-INV",VLOOKUP($G64,'DX-Data'!$H$12:$J$18,3,TRUE),"CHOOSE AC TYPE")))),"NO SELECTION")</f>
        <v>NO SELECTION</v>
      </c>
      <c r="AJ64" s="77">
        <f>IF($E64="","",IF($C64="DUCTED",VLOOKUP($E64,'DX-Data'!$D$5:$J$11,6,TRUE),IF($C64="DECORATIVE",VLOOKUP($E64,'DX-Data'!$D$19:$J$23,6,TRUE),IF($C64="PACKAGED",VLOOKUP($E64,'DX-Data'!$D$24:$J$30,6,TRUE),IF($C64="DUCTED-INV",VLOOKUP($E64,'DX-Data'!$D$12:$J$18,6,TRUE),0)))))</f>
        <v>2</v>
      </c>
      <c r="AK64" s="77">
        <f>IF($F$9=TRUE,IF($C64="DUCTED",VLOOKUP($F64,'DX-Data'!$F$5:$J$11,4,TRUE),IF($C64="DECORATIVE",VLOOKUP($F64,'DX-Data'!$F$19:$J$23,4,TRUE),IF($C64="PACKAGED",VLOOKUP($F64,'DX-Data'!$F$24:$J$30,4,TRUE),IF($C64="DUCTED-INV",VLOOKUP($F64,'DX-Data'!$F$12:$J$18,4,TRUE),"CHOOSE AC TYPE")))),0)</f>
        <v>1</v>
      </c>
      <c r="AL64" s="77">
        <f>IF($G$9=TRUE,IF($C64="DUCTED",VLOOKUP($G64,'DX-Data'!$H$5:$J$11,2,TRUE),IF($C64="DECORATIVE",VLOOKUP($G64,'DX-Data'!$H$19:$J$23,2,TRUE),IF($C64="PACKAGED",VLOOKUP($G64,'DX-Data'!$H$24:$J$30,2,TRUE),IF($C64="DUCTED-INV",VLOOKUP($G64,'DX-Data'!$H$12:$J$18,2,TRUE),"CHOOSE AC TYPE")))),0)</f>
        <v>0</v>
      </c>
      <c r="AM64" s="77">
        <f t="shared" si="5"/>
        <v>2</v>
      </c>
      <c r="AN64" s="76" t="str">
        <f>IF(E64="","",VLOOKUP($AM64,'DX-Data'!$I$5:$J$31,2,FALSE))</f>
        <v>FDMRN25AVKU - RR25AVKU</v>
      </c>
      <c r="AO64" s="77">
        <f t="shared" si="6"/>
        <v>1</v>
      </c>
    </row>
    <row r="65" spans="2:41" x14ac:dyDescent="0.3">
      <c r="B65" s="71" t="s">
        <v>145</v>
      </c>
      <c r="C65" s="26" t="s">
        <v>38</v>
      </c>
      <c r="D65" s="27" t="s">
        <v>213</v>
      </c>
      <c r="E65" s="26">
        <v>3.1</v>
      </c>
      <c r="F65" s="26">
        <v>2.8</v>
      </c>
      <c r="G65" s="82">
        <v>235</v>
      </c>
      <c r="H65" s="74" t="str">
        <f t="shared" si="7"/>
        <v>FDMRN20AVKU - RR20AVKU</v>
      </c>
      <c r="I65" s="2">
        <f t="shared" si="8"/>
        <v>1</v>
      </c>
      <c r="J65" s="21">
        <f>IF($H65="","",VLOOKUP($H65,Data!$C$6:$Y$29,2,FALSE))</f>
        <v>1.5</v>
      </c>
      <c r="K65" s="2" t="str">
        <f>IF($H65="","",VLOOKUP($H65,Data!$C$6:$Y$29,3,FALSE))</f>
        <v>Non-Inverter</v>
      </c>
      <c r="L65" s="2" t="str">
        <f>IF($H65="","",VLOOKUP($H65,Data!$C$6:$Y$29,4,FALSE))</f>
        <v>R-410A</v>
      </c>
      <c r="M65" s="2" t="str">
        <f>IF($H65="","",VLOOKUP($H65,Data!$C$6:$Y$29,5,FALSE))</f>
        <v>24/16</v>
      </c>
      <c r="N65" s="2">
        <f>IF($H65="","",VLOOKUP($H65,Data!$C$6:$Y$29,6,FALSE))</f>
        <v>46</v>
      </c>
      <c r="O65" s="2">
        <f>IF($H65="","",VLOOKUP($H65,Data!$C$6:$Y$29,7,FALSE))</f>
        <v>4.24</v>
      </c>
      <c r="P65" s="2">
        <f>IF($H65="","",VLOOKUP($H65,Data!$C$6:$Y$29,8,FALSE))</f>
        <v>4.1100000000000003</v>
      </c>
      <c r="Q65" s="2">
        <f>IF($H65="","",VLOOKUP($H65,Data!$C$6:$Y$29,9,FALSE))</f>
        <v>255</v>
      </c>
      <c r="R65" s="2" t="str">
        <f>IF($H65="","",VLOOKUP($H65,Data!$C$6:$Y$29,10,FALSE))</f>
        <v>MEDIUM</v>
      </c>
      <c r="S65" s="2">
        <f>IF($H65="","",VLOOKUP($H65,Data!$C$6:$Y$29,11,FALSE))</f>
        <v>1.77</v>
      </c>
      <c r="T65" s="2">
        <f>IF($H65="","",VLOOKUP($H65,Data!$C$6:$Y$29,12,FALSE))</f>
        <v>1.8</v>
      </c>
      <c r="U65" s="2">
        <f>IF($H65="","",VLOOKUP($H65,Data!$C$6:$Y$29,13,FALSE))</f>
        <v>3.49</v>
      </c>
      <c r="V65" s="2">
        <f>IF($H65="","",VLOOKUP($H65,Data!$C$6:$Y$29,14,FALSE))</f>
        <v>40</v>
      </c>
      <c r="W65" s="2" t="str">
        <f>IF($H65="","",VLOOKUP($H65,Data!$C$6:$Y$29,15,FALSE))</f>
        <v>220-240/1/50</v>
      </c>
      <c r="X65" s="2">
        <f>IF($H65="","",VLOOKUP($H65,Data!$C$6:$Y$29,16,FALSE))</f>
        <v>261</v>
      </c>
      <c r="Y65" s="2">
        <f>IF($H65="","",VLOOKUP($H65,Data!$C$6:$Y$29,17,FALSE))</f>
        <v>1200</v>
      </c>
      <c r="Z65" s="2">
        <f>IF($H65="","",VLOOKUP($H65,Data!$C$6:$Y$29,18,FALSE))</f>
        <v>448</v>
      </c>
      <c r="AA65" s="2">
        <f>IF($H65="","",VLOOKUP($H65,Data!$C$6:$Y$29,19,FALSE))</f>
        <v>753</v>
      </c>
      <c r="AB65" s="2">
        <f>IF($H65="","",VLOOKUP($H65,Data!$C$6:$Y$29,20,FALSE))</f>
        <v>855</v>
      </c>
      <c r="AC65" s="2">
        <f>IF($H65="","",VLOOKUP($H65,Data!$C$6:$Y$29,21,FALSE))</f>
        <v>328</v>
      </c>
      <c r="AD65" s="2">
        <f>IF($H65="","",VLOOKUP($H65,Data!$C$6:$Y$29,22,FALSE))</f>
        <v>26</v>
      </c>
      <c r="AE65" s="3">
        <f>IF($H65="","",VLOOKUP($H65,Data!$C$6:$Y$29,23,FALSE))</f>
        <v>47</v>
      </c>
      <c r="AG65" s="76" t="str">
        <f>IF($E65="","",IF($C65="DUCTED",VLOOKUP($E65,'DX-Data'!$D$5:$J$11,7,TRUE),IF($C65="DECORATIVE",VLOOKUP($E65,'DX-Data'!$D$19:$J$23,7,TRUE),IF($C65="PACKAGED",VLOOKUP($E65,'DX-Data'!$D$24:$J$30,7,TRUE),IF($C65="DUCTED-INV",VLOOKUP($E65,'DX-Data'!$D$12:$J$18,7,TRUE),"CHOOSE AC TYPE")))))</f>
        <v>FDMRN20AVKU - RR20AVKU</v>
      </c>
      <c r="AH65" s="76" t="str">
        <f>IF($F$9=TRUE,IF($C65="DUCTED",VLOOKUP($F65,'DX-Data'!$F$5:$J$11,5,TRUE),IF($C65="DECORATIVE",VLOOKUP($F65,'DX-Data'!$F$19:$J$23,5,TRUE),IF($C65="PACKAGED",VLOOKUP($F65,'DX-Data'!$F$24:$J$30,5,TRUE),IF($C65="DUCTED-INV",VLOOKUP($F65,'DX-Data'!$F$12:$J$18,5,TRUE),"CHOOSE AC TYPE")))),"NO SELECTION")</f>
        <v>FDMRN20AVKU - RR20AVKU</v>
      </c>
      <c r="AI65" s="76" t="str">
        <f>IF($G$9=TRUE,IF($C65="DUCTED",VLOOKUP($G65,'DX-Data'!$H$5:$J$11,3,TRUE),IF($C65="DECORATIVE",VLOOKUP($G65,'DX-Data'!$H$19:$J$23,3,TRUE),IF($C65="PACKAGED",VLOOKUP($G65,'DX-Data'!$H$24:$J$30,3,TRUE),IF($C65="DUCTED-INV",VLOOKUP($G65,'DX-Data'!$H$12:$J$18,3,TRUE),"CHOOSE AC TYPE")))),"NO SELECTION")</f>
        <v>NO SELECTION</v>
      </c>
      <c r="AJ65" s="77">
        <f>IF($E65="","",IF($C65="DUCTED",VLOOKUP($E65,'DX-Data'!$D$5:$J$11,6,TRUE),IF($C65="DECORATIVE",VLOOKUP($E65,'DX-Data'!$D$19:$J$23,6,TRUE),IF($C65="PACKAGED",VLOOKUP($E65,'DX-Data'!$D$24:$J$30,6,TRUE),IF($C65="DUCTED-INV",VLOOKUP($E65,'DX-Data'!$D$12:$J$18,6,TRUE),0)))))</f>
        <v>1</v>
      </c>
      <c r="AK65" s="77">
        <f>IF($F$9=TRUE,IF($C65="DUCTED",VLOOKUP($F65,'DX-Data'!$F$5:$J$11,4,TRUE),IF($C65="DECORATIVE",VLOOKUP($F65,'DX-Data'!$F$19:$J$23,4,TRUE),IF($C65="PACKAGED",VLOOKUP($F65,'DX-Data'!$F$24:$J$30,4,TRUE),IF($C65="DUCTED-INV",VLOOKUP($F65,'DX-Data'!$F$12:$J$18,4,TRUE),"CHOOSE AC TYPE")))),0)</f>
        <v>1</v>
      </c>
      <c r="AL65" s="77">
        <f>IF($G$9=TRUE,IF($C65="DUCTED",VLOOKUP($G65,'DX-Data'!$H$5:$J$11,2,TRUE),IF($C65="DECORATIVE",VLOOKUP($G65,'DX-Data'!$H$19:$J$23,2,TRUE),IF($C65="PACKAGED",VLOOKUP($G65,'DX-Data'!$H$24:$J$30,2,TRUE),IF($C65="DUCTED-INV",VLOOKUP($G65,'DX-Data'!$H$12:$J$18,2,TRUE),"CHOOSE AC TYPE")))),0)</f>
        <v>0</v>
      </c>
      <c r="AM65" s="77">
        <f t="shared" si="5"/>
        <v>1</v>
      </c>
      <c r="AN65" s="76" t="str">
        <f>IF(E65="","",VLOOKUP($AM65,'DX-Data'!$I$5:$J$31,2,FALSE))</f>
        <v>FDMRN20AVKU - RR20AVKU</v>
      </c>
      <c r="AO65" s="77">
        <f t="shared" si="6"/>
        <v>1</v>
      </c>
    </row>
    <row r="66" spans="2:41" x14ac:dyDescent="0.3">
      <c r="B66" s="71" t="s">
        <v>146</v>
      </c>
      <c r="C66" s="26" t="s">
        <v>38</v>
      </c>
      <c r="D66" s="27" t="s">
        <v>211</v>
      </c>
      <c r="E66" s="26">
        <v>11.6</v>
      </c>
      <c r="F66" s="26">
        <v>9</v>
      </c>
      <c r="G66" s="82">
        <v>724</v>
      </c>
      <c r="H66" s="74" t="s">
        <v>50</v>
      </c>
      <c r="I66" s="2">
        <v>2</v>
      </c>
      <c r="J66" s="21">
        <f>IF($H66="","",VLOOKUP($H66,Data!$C$6:$Y$29,2,FALSE))</f>
        <v>2.5</v>
      </c>
      <c r="K66" s="2" t="str">
        <f>IF($H66="","",VLOOKUP($H66,Data!$C$6:$Y$29,3,FALSE))</f>
        <v>Non-Inverter</v>
      </c>
      <c r="L66" s="2" t="str">
        <f>IF($H66="","",VLOOKUP($H66,Data!$C$6:$Y$29,4,FALSE))</f>
        <v>R-410A</v>
      </c>
      <c r="M66" s="2" t="str">
        <f>IF($H66="","",VLOOKUP($H66,Data!$C$6:$Y$29,5,FALSE))</f>
        <v>24/16</v>
      </c>
      <c r="N66" s="2">
        <f>IF($H66="","",VLOOKUP($H66,Data!$C$6:$Y$29,6,FALSE))</f>
        <v>46</v>
      </c>
      <c r="O66" s="2">
        <f>IF($H66="","",VLOOKUP($H66,Data!$C$6:$Y$29,7,FALSE))</f>
        <v>6.93</v>
      </c>
      <c r="P66" s="2">
        <f>IF($H66="","",VLOOKUP($H66,Data!$C$6:$Y$29,8,FALSE))</f>
        <v>6.3</v>
      </c>
      <c r="Q66" s="2">
        <f>IF($H66="","",VLOOKUP($H66,Data!$C$6:$Y$29,9,FALSE))</f>
        <v>374</v>
      </c>
      <c r="R66" s="2" t="str">
        <f>IF($H66="","",VLOOKUP($H66,Data!$C$6:$Y$29,10,FALSE))</f>
        <v>MEDIUM</v>
      </c>
      <c r="S66" s="2">
        <f>IF($H66="","",VLOOKUP($H66,Data!$C$6:$Y$29,11,FALSE))</f>
        <v>2.87</v>
      </c>
      <c r="T66" s="2">
        <f>IF($H66="","",VLOOKUP($H66,Data!$C$6:$Y$29,12,FALSE))</f>
        <v>3.05</v>
      </c>
      <c r="U66" s="2">
        <f>IF($H66="","",VLOOKUP($H66,Data!$C$6:$Y$29,13,FALSE))</f>
        <v>3.49</v>
      </c>
      <c r="V66" s="2">
        <f>IF($H66="","",VLOOKUP($H66,Data!$C$6:$Y$29,14,FALSE))</f>
        <v>40</v>
      </c>
      <c r="W66" s="2" t="str">
        <f>IF($H66="","",VLOOKUP($H66,Data!$C$6:$Y$29,15,FALSE))</f>
        <v>220-240/1/50</v>
      </c>
      <c r="X66" s="2">
        <f>IF($H66="","",VLOOKUP($H66,Data!$C$6:$Y$29,16,FALSE))</f>
        <v>378</v>
      </c>
      <c r="Y66" s="2">
        <f>IF($H66="","",VLOOKUP($H66,Data!$C$6:$Y$29,17,FALSE))</f>
        <v>1115</v>
      </c>
      <c r="Z66" s="2">
        <f>IF($H66="","",VLOOKUP($H66,Data!$C$6:$Y$29,18,FALSE))</f>
        <v>541</v>
      </c>
      <c r="AA66" s="2">
        <f>IF($H66="","",VLOOKUP($H66,Data!$C$6:$Y$29,19,FALSE))</f>
        <v>852</v>
      </c>
      <c r="AB66" s="2">
        <f>IF($H66="","",VLOOKUP($H66,Data!$C$6:$Y$29,20,FALSE))</f>
        <v>1030</v>
      </c>
      <c r="AC66" s="2">
        <f>IF($H66="","",VLOOKUP($H66,Data!$C$6:$Y$29,21,FALSE))</f>
        <v>400</v>
      </c>
      <c r="AD66" s="2">
        <f>IF($H66="","",VLOOKUP($H66,Data!$C$6:$Y$29,22,FALSE))</f>
        <v>44</v>
      </c>
      <c r="AE66" s="3">
        <f>IF($H66="","",VLOOKUP($H66,Data!$C$6:$Y$29,23,FALSE))</f>
        <v>75</v>
      </c>
      <c r="AG66" s="76" t="str">
        <f>IF($E66="","",IF($C66="DUCTED",VLOOKUP($E66,'DX-Data'!$D$5:$J$11,7,TRUE),IF($C66="DECORATIVE",VLOOKUP($E66,'DX-Data'!$D$19:$J$23,7,TRUE),IF($C66="PACKAGED",VLOOKUP($E66,'DX-Data'!$D$24:$J$30,7,TRUE),IF($C66="DUCTED-INV",VLOOKUP($E66,'DX-Data'!$D$12:$J$18,7,TRUE),"CHOOSE AC TYPE")))))</f>
        <v>FDMRN60AVKU - RR60AYKU</v>
      </c>
      <c r="AH66" s="76" t="str">
        <f>IF($F$9=TRUE,IF($C66="DUCTED",VLOOKUP($F66,'DX-Data'!$F$5:$J$11,5,TRUE),IF($C66="DECORATIVE",VLOOKUP($F66,'DX-Data'!$F$19:$J$23,5,TRUE),IF($C66="PACKAGED",VLOOKUP($F66,'DX-Data'!$F$24:$J$30,5,TRUE),IF($C66="DUCTED-INV",VLOOKUP($F66,'DX-Data'!$F$12:$J$18,5,TRUE),"CHOOSE AC TYPE")))),"NO SELECTION")</f>
        <v>FDMRN50AVKU - RR50AYKU</v>
      </c>
      <c r="AI66" s="76" t="str">
        <f>IF($G$9=TRUE,IF($C66="DUCTED",VLOOKUP($G66,'DX-Data'!$H$5:$J$11,3,TRUE),IF($C66="DECORATIVE",VLOOKUP($G66,'DX-Data'!$H$19:$J$23,3,TRUE),IF($C66="PACKAGED",VLOOKUP($G66,'DX-Data'!$H$24:$J$30,3,TRUE),IF($C66="DUCTED-INV",VLOOKUP($G66,'DX-Data'!$H$12:$J$18,3,TRUE),"CHOOSE AC TYPE")))),"NO SELECTION")</f>
        <v>NO SELECTION</v>
      </c>
      <c r="AJ66" s="77">
        <f>IF($E66="","",IF($C66="DUCTED",VLOOKUP($E66,'DX-Data'!$D$5:$J$11,6,TRUE),IF($C66="DECORATIVE",VLOOKUP($E66,'DX-Data'!$D$19:$J$23,6,TRUE),IF($C66="PACKAGED",VLOOKUP($E66,'DX-Data'!$D$24:$J$30,6,TRUE),IF($C66="DUCTED-INV",VLOOKUP($E66,'DX-Data'!$D$12:$J$18,6,TRUE),0)))))</f>
        <v>6</v>
      </c>
      <c r="AK66" s="77">
        <f>IF($F$9=TRUE,IF($C66="DUCTED",VLOOKUP($F66,'DX-Data'!$F$5:$J$11,4,TRUE),IF($C66="DECORATIVE",VLOOKUP($F66,'DX-Data'!$F$19:$J$23,4,TRUE),IF($C66="PACKAGED",VLOOKUP($F66,'DX-Data'!$F$24:$J$30,4,TRUE),IF($C66="DUCTED-INV",VLOOKUP($F66,'DX-Data'!$F$12:$J$18,4,TRUE),"CHOOSE AC TYPE")))),0)</f>
        <v>5</v>
      </c>
      <c r="AL66" s="77">
        <f>IF($G$9=TRUE,IF($C66="DUCTED",VLOOKUP($G66,'DX-Data'!$H$5:$J$11,2,TRUE),IF($C66="DECORATIVE",VLOOKUP($G66,'DX-Data'!$H$19:$J$23,2,TRUE),IF($C66="PACKAGED",VLOOKUP($G66,'DX-Data'!$H$24:$J$30,2,TRUE),IF($C66="DUCTED-INV",VLOOKUP($G66,'DX-Data'!$H$12:$J$18,2,TRUE),"CHOOSE AC TYPE")))),0)</f>
        <v>0</v>
      </c>
      <c r="AM66" s="77">
        <f t="shared" si="5"/>
        <v>6</v>
      </c>
      <c r="AN66" s="76" t="str">
        <f>IF(E66="","",VLOOKUP($AM66,'DX-Data'!$I$5:$J$31,2,FALSE))</f>
        <v>FDMRN60AVKU - RR60AYKU</v>
      </c>
      <c r="AO66" s="77">
        <f t="shared" si="6"/>
        <v>1</v>
      </c>
    </row>
    <row r="67" spans="2:41" x14ac:dyDescent="0.3">
      <c r="B67" s="85"/>
      <c r="C67" s="26"/>
      <c r="D67" s="27"/>
      <c r="E67" s="26"/>
      <c r="F67" s="26"/>
      <c r="G67" s="82"/>
      <c r="H67" s="74"/>
      <c r="I67" s="2"/>
      <c r="J67" s="2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G67" s="76"/>
      <c r="AH67" s="76"/>
      <c r="AI67" s="76"/>
      <c r="AJ67" s="77"/>
      <c r="AK67" s="77"/>
      <c r="AL67" s="77"/>
      <c r="AM67" s="77"/>
      <c r="AN67" s="76"/>
      <c r="AO67" s="77"/>
    </row>
    <row r="68" spans="2:41" x14ac:dyDescent="0.3">
      <c r="B68" s="71" t="s">
        <v>147</v>
      </c>
      <c r="C68" s="26" t="s">
        <v>38</v>
      </c>
      <c r="D68" s="27" t="s">
        <v>190</v>
      </c>
      <c r="E68" s="26">
        <v>8.1</v>
      </c>
      <c r="F68" s="26">
        <v>6.8</v>
      </c>
      <c r="G68" s="82">
        <v>566</v>
      </c>
      <c r="H68" s="74" t="str">
        <f t="shared" si="7"/>
        <v>FDMRN36AVKU - RR36AVKU</v>
      </c>
      <c r="I68" s="2">
        <v>2</v>
      </c>
      <c r="J68" s="21">
        <f>IF($H68="","",VLOOKUP($H68,Data!$C$6:$Y$29,2,FALSE))</f>
        <v>3</v>
      </c>
      <c r="K68" s="2" t="str">
        <f>IF($H68="","",VLOOKUP($H68,Data!$C$6:$Y$29,3,FALSE))</f>
        <v>Non-Inverter</v>
      </c>
      <c r="L68" s="2" t="str">
        <f>IF($H68="","",VLOOKUP($H68,Data!$C$6:$Y$29,4,FALSE))</f>
        <v>R-410A</v>
      </c>
      <c r="M68" s="2" t="str">
        <f>IF($H68="","",VLOOKUP($H68,Data!$C$6:$Y$29,5,FALSE))</f>
        <v>24/16</v>
      </c>
      <c r="N68" s="2">
        <f>IF($H68="","",VLOOKUP($H68,Data!$C$6:$Y$29,6,FALSE))</f>
        <v>46</v>
      </c>
      <c r="O68" s="2">
        <f>IF($H68="","",VLOOKUP($H68,Data!$C$6:$Y$29,7,FALSE))</f>
        <v>8.42</v>
      </c>
      <c r="P68" s="2">
        <f>IF($H68="","",VLOOKUP($H68,Data!$C$6:$Y$29,8,FALSE))</f>
        <v>8.18</v>
      </c>
      <c r="Q68" s="2">
        <f>IF($H68="","",VLOOKUP($H68,Data!$C$6:$Y$29,9,FALSE))</f>
        <v>650</v>
      </c>
      <c r="R68" s="2" t="str">
        <f>IF($H68="","",VLOOKUP($H68,Data!$C$6:$Y$29,10,FALSE))</f>
        <v>MEDIUM</v>
      </c>
      <c r="S68" s="2">
        <f>IF($H68="","",VLOOKUP($H68,Data!$C$6:$Y$29,11,FALSE))</f>
        <v>3.39</v>
      </c>
      <c r="T68" s="2">
        <f>IF($H68="","",VLOOKUP($H68,Data!$C$6:$Y$29,12,FALSE))</f>
        <v>3.55</v>
      </c>
      <c r="U68" s="2">
        <f>IF($H68="","",VLOOKUP($H68,Data!$C$6:$Y$29,13,FALSE))</f>
        <v>3.56</v>
      </c>
      <c r="V68" s="2">
        <f>IF($H68="","",VLOOKUP($H68,Data!$C$6:$Y$29,14,FALSE))</f>
        <v>50</v>
      </c>
      <c r="W68" s="2" t="str">
        <f>IF($H68="","",VLOOKUP($H68,Data!$C$6:$Y$29,15,FALSE))</f>
        <v>220-240/1/50</v>
      </c>
      <c r="X68" s="2">
        <f>IF($H68="","",VLOOKUP($H68,Data!$C$6:$Y$29,16,FALSE))</f>
        <v>378</v>
      </c>
      <c r="Y68" s="2">
        <f>IF($H68="","",VLOOKUP($H68,Data!$C$6:$Y$29,17,FALSE))</f>
        <v>1369</v>
      </c>
      <c r="Z68" s="2">
        <f>IF($H68="","",VLOOKUP($H68,Data!$C$6:$Y$29,18,FALSE))</f>
        <v>541</v>
      </c>
      <c r="AA68" s="2">
        <f>IF($H68="","",VLOOKUP($H68,Data!$C$6:$Y$29,19,FALSE))</f>
        <v>852</v>
      </c>
      <c r="AB68" s="2">
        <f>IF($H68="","",VLOOKUP($H68,Data!$C$6:$Y$29,20,FALSE))</f>
        <v>1030</v>
      </c>
      <c r="AC68" s="2">
        <f>IF($H68="","",VLOOKUP($H68,Data!$C$6:$Y$29,21,FALSE))</f>
        <v>400</v>
      </c>
      <c r="AD68" s="2">
        <f>IF($H68="","",VLOOKUP($H68,Data!$C$6:$Y$29,22,FALSE))</f>
        <v>50</v>
      </c>
      <c r="AE68" s="3">
        <f>IF($H68="","",VLOOKUP($H68,Data!$C$6:$Y$29,23,FALSE))</f>
        <v>92</v>
      </c>
      <c r="AG68" s="76" t="str">
        <f>IF($E68="","",IF($C68="DUCTED",VLOOKUP($E68,'DX-Data'!$D$5:$J$11,7,TRUE),IF($C68="DECORATIVE",VLOOKUP($E68,'DX-Data'!$D$19:$J$23,7,TRUE),IF($C68="PACKAGED",VLOOKUP($E68,'DX-Data'!$D$24:$J$30,7,TRUE),IF($C68="DUCTED-INV",VLOOKUP($E68,'DX-Data'!$D$12:$J$18,7,TRUE),"CHOOSE AC TYPE")))))</f>
        <v>FDMRN36AVKU - RR36AVKU</v>
      </c>
      <c r="AH68" s="76" t="str">
        <f>IF($F$9=TRUE,IF($C68="DUCTED",VLOOKUP($F68,'DX-Data'!$F$5:$J$11,5,TRUE),IF($C68="DECORATIVE",VLOOKUP($F68,'DX-Data'!$F$19:$J$23,5,TRUE),IF($C68="PACKAGED",VLOOKUP($F68,'DX-Data'!$F$24:$J$30,5,TRUE),IF($C68="DUCTED-INV",VLOOKUP($F68,'DX-Data'!$F$12:$J$18,5,TRUE),"CHOOSE AC TYPE")))),"NO SELECTION")</f>
        <v>FDMRN36AVKU - RR36AVKU</v>
      </c>
      <c r="AI68" s="76" t="str">
        <f>IF($G$9=TRUE,IF($C68="DUCTED",VLOOKUP($G68,'DX-Data'!$H$5:$J$11,3,TRUE),IF($C68="DECORATIVE",VLOOKUP($G68,'DX-Data'!$H$19:$J$23,3,TRUE),IF($C68="PACKAGED",VLOOKUP($G68,'DX-Data'!$H$24:$J$30,3,TRUE),IF($C68="DUCTED-INV",VLOOKUP($G68,'DX-Data'!$H$12:$J$18,3,TRUE),"CHOOSE AC TYPE")))),"NO SELECTION")</f>
        <v>NO SELECTION</v>
      </c>
      <c r="AJ68" s="77">
        <f>IF($E68="","",IF($C68="DUCTED",VLOOKUP($E68,'DX-Data'!$D$5:$J$11,6,TRUE),IF($C68="DECORATIVE",VLOOKUP($E68,'DX-Data'!$D$19:$J$23,6,TRUE),IF($C68="PACKAGED",VLOOKUP($E68,'DX-Data'!$D$24:$J$30,6,TRUE),IF($C68="DUCTED-INV",VLOOKUP($E68,'DX-Data'!$D$12:$J$18,6,TRUE),0)))))</f>
        <v>4</v>
      </c>
      <c r="AK68" s="77">
        <f>IF($F$9=TRUE,IF($C68="DUCTED",VLOOKUP($F68,'DX-Data'!$F$5:$J$11,4,TRUE),IF($C68="DECORATIVE",VLOOKUP($F68,'DX-Data'!$F$19:$J$23,4,TRUE),IF($C68="PACKAGED",VLOOKUP($F68,'DX-Data'!$F$24:$J$30,4,TRUE),IF($C68="DUCTED-INV",VLOOKUP($F68,'DX-Data'!$F$12:$J$18,4,TRUE),"CHOOSE AC TYPE")))),0)</f>
        <v>4</v>
      </c>
      <c r="AL68" s="77">
        <f>IF($G$9=TRUE,IF($C68="DUCTED",VLOOKUP($G68,'DX-Data'!$H$5:$J$11,2,TRUE),IF($C68="DECORATIVE",VLOOKUP($G68,'DX-Data'!$H$19:$J$23,2,TRUE),IF($C68="PACKAGED",VLOOKUP($G68,'DX-Data'!$H$24:$J$30,2,TRUE),IF($C68="DUCTED-INV",VLOOKUP($G68,'DX-Data'!$H$12:$J$18,2,TRUE),"CHOOSE AC TYPE")))),0)</f>
        <v>0</v>
      </c>
      <c r="AM68" s="77">
        <f t="shared" si="5"/>
        <v>4</v>
      </c>
      <c r="AN68" s="76" t="str">
        <f>IF(E68="","",VLOOKUP($AM68,'DX-Data'!$I$5:$J$31,2,FALSE))</f>
        <v>FDMRN36AVKU - RR36AVKU</v>
      </c>
      <c r="AO68" s="77">
        <f t="shared" si="6"/>
        <v>1</v>
      </c>
    </row>
    <row r="69" spans="2:41" x14ac:dyDescent="0.3">
      <c r="B69" s="71" t="s">
        <v>148</v>
      </c>
      <c r="C69" s="26" t="s">
        <v>38</v>
      </c>
      <c r="D69" s="27" t="s">
        <v>191</v>
      </c>
      <c r="E69" s="26">
        <v>7.1</v>
      </c>
      <c r="F69" s="26">
        <v>5.6</v>
      </c>
      <c r="G69" s="82">
        <v>458</v>
      </c>
      <c r="H69" s="74" t="str">
        <f t="shared" si="7"/>
        <v>FDMRN36AVKU - RR36AVKU</v>
      </c>
      <c r="I69" s="2">
        <v>2</v>
      </c>
      <c r="J69" s="21">
        <f>IF($H69="","",VLOOKUP($H69,Data!$C$6:$Y$29,2,FALSE))</f>
        <v>3</v>
      </c>
      <c r="K69" s="2" t="str">
        <f>IF($H69="","",VLOOKUP($H69,Data!$C$6:$Y$29,3,FALSE))</f>
        <v>Non-Inverter</v>
      </c>
      <c r="L69" s="2" t="str">
        <f>IF($H69="","",VLOOKUP($H69,Data!$C$6:$Y$29,4,FALSE))</f>
        <v>R-410A</v>
      </c>
      <c r="M69" s="2" t="str">
        <f>IF($H69="","",VLOOKUP($H69,Data!$C$6:$Y$29,5,FALSE))</f>
        <v>24/16</v>
      </c>
      <c r="N69" s="2">
        <f>IF($H69="","",VLOOKUP($H69,Data!$C$6:$Y$29,6,FALSE))</f>
        <v>46</v>
      </c>
      <c r="O69" s="2">
        <f>IF($H69="","",VLOOKUP($H69,Data!$C$6:$Y$29,7,FALSE))</f>
        <v>8.42</v>
      </c>
      <c r="P69" s="2">
        <f>IF($H69="","",VLOOKUP($H69,Data!$C$6:$Y$29,8,FALSE))</f>
        <v>8.18</v>
      </c>
      <c r="Q69" s="2">
        <f>IF($H69="","",VLOOKUP($H69,Data!$C$6:$Y$29,9,FALSE))</f>
        <v>650</v>
      </c>
      <c r="R69" s="2" t="str">
        <f>IF($H69="","",VLOOKUP($H69,Data!$C$6:$Y$29,10,FALSE))</f>
        <v>MEDIUM</v>
      </c>
      <c r="S69" s="2">
        <f>IF($H69="","",VLOOKUP($H69,Data!$C$6:$Y$29,11,FALSE))</f>
        <v>3.39</v>
      </c>
      <c r="T69" s="2">
        <f>IF($H69="","",VLOOKUP($H69,Data!$C$6:$Y$29,12,FALSE))</f>
        <v>3.55</v>
      </c>
      <c r="U69" s="2">
        <f>IF($H69="","",VLOOKUP($H69,Data!$C$6:$Y$29,13,FALSE))</f>
        <v>3.56</v>
      </c>
      <c r="V69" s="2">
        <f>IF($H69="","",VLOOKUP($H69,Data!$C$6:$Y$29,14,FALSE))</f>
        <v>50</v>
      </c>
      <c r="W69" s="2" t="str">
        <f>IF($H69="","",VLOOKUP($H69,Data!$C$6:$Y$29,15,FALSE))</f>
        <v>220-240/1/50</v>
      </c>
      <c r="X69" s="2">
        <f>IF($H69="","",VLOOKUP($H69,Data!$C$6:$Y$29,16,FALSE))</f>
        <v>378</v>
      </c>
      <c r="Y69" s="2">
        <f>IF($H69="","",VLOOKUP($H69,Data!$C$6:$Y$29,17,FALSE))</f>
        <v>1369</v>
      </c>
      <c r="Z69" s="2">
        <f>IF($H69="","",VLOOKUP($H69,Data!$C$6:$Y$29,18,FALSE))</f>
        <v>541</v>
      </c>
      <c r="AA69" s="2">
        <f>IF($H69="","",VLOOKUP($H69,Data!$C$6:$Y$29,19,FALSE))</f>
        <v>852</v>
      </c>
      <c r="AB69" s="2">
        <f>IF($H69="","",VLOOKUP($H69,Data!$C$6:$Y$29,20,FALSE))</f>
        <v>1030</v>
      </c>
      <c r="AC69" s="2">
        <f>IF($H69="","",VLOOKUP($H69,Data!$C$6:$Y$29,21,FALSE))</f>
        <v>400</v>
      </c>
      <c r="AD69" s="2">
        <f>IF($H69="","",VLOOKUP($H69,Data!$C$6:$Y$29,22,FALSE))</f>
        <v>50</v>
      </c>
      <c r="AE69" s="3">
        <f>IF($H69="","",VLOOKUP($H69,Data!$C$6:$Y$29,23,FALSE))</f>
        <v>92</v>
      </c>
      <c r="AG69" s="76" t="str">
        <f>IF($E69="","",IF($C69="DUCTED",VLOOKUP($E69,'DX-Data'!$D$5:$J$11,7,TRUE),IF($C69="DECORATIVE",VLOOKUP($E69,'DX-Data'!$D$19:$J$23,7,TRUE),IF($C69="PACKAGED",VLOOKUP($E69,'DX-Data'!$D$24:$J$30,7,TRUE),IF($C69="DUCTED-INV",VLOOKUP($E69,'DX-Data'!$D$12:$J$18,7,TRUE),"CHOOSE AC TYPE")))))</f>
        <v>FDMRN36AVKU - RR36AVKU</v>
      </c>
      <c r="AH69" s="76" t="str">
        <f>IF($F$9=TRUE,IF($C69="DUCTED",VLOOKUP($F69,'DX-Data'!$F$5:$J$11,5,TRUE),IF($C69="DECORATIVE",VLOOKUP($F69,'DX-Data'!$F$19:$J$23,5,TRUE),IF($C69="PACKAGED",VLOOKUP($F69,'DX-Data'!$F$24:$J$30,5,TRUE),IF($C69="DUCTED-INV",VLOOKUP($F69,'DX-Data'!$F$12:$J$18,5,TRUE),"CHOOSE AC TYPE")))),"NO SELECTION")</f>
        <v>FDMRN30AVKU - RR30AVKU</v>
      </c>
      <c r="AI69" s="76" t="str">
        <f>IF($G$9=TRUE,IF($C69="DUCTED",VLOOKUP($G69,'DX-Data'!$H$5:$J$11,3,TRUE),IF($C69="DECORATIVE",VLOOKUP($G69,'DX-Data'!$H$19:$J$23,3,TRUE),IF($C69="PACKAGED",VLOOKUP($G69,'DX-Data'!$H$24:$J$30,3,TRUE),IF($C69="DUCTED-INV",VLOOKUP($G69,'DX-Data'!$H$12:$J$18,3,TRUE),"CHOOSE AC TYPE")))),"NO SELECTION")</f>
        <v>NO SELECTION</v>
      </c>
      <c r="AJ69" s="77">
        <f>IF($E69="","",IF($C69="DUCTED",VLOOKUP($E69,'DX-Data'!$D$5:$J$11,6,TRUE),IF($C69="DECORATIVE",VLOOKUP($E69,'DX-Data'!$D$19:$J$23,6,TRUE),IF($C69="PACKAGED",VLOOKUP($E69,'DX-Data'!$D$24:$J$30,6,TRUE),IF($C69="DUCTED-INV",VLOOKUP($E69,'DX-Data'!$D$12:$J$18,6,TRUE),0)))))</f>
        <v>4</v>
      </c>
      <c r="AK69" s="77">
        <f>IF($F$9=TRUE,IF($C69="DUCTED",VLOOKUP($F69,'DX-Data'!$F$5:$J$11,4,TRUE),IF($C69="DECORATIVE",VLOOKUP($F69,'DX-Data'!$F$19:$J$23,4,TRUE),IF($C69="PACKAGED",VLOOKUP($F69,'DX-Data'!$F$24:$J$30,4,TRUE),IF($C69="DUCTED-INV",VLOOKUP($F69,'DX-Data'!$F$12:$J$18,4,TRUE),"CHOOSE AC TYPE")))),0)</f>
        <v>3</v>
      </c>
      <c r="AL69" s="77">
        <f>IF($G$9=TRUE,IF($C69="DUCTED",VLOOKUP($G69,'DX-Data'!$H$5:$J$11,2,TRUE),IF($C69="DECORATIVE",VLOOKUP($G69,'DX-Data'!$H$19:$J$23,2,TRUE),IF($C69="PACKAGED",VLOOKUP($G69,'DX-Data'!$H$24:$J$30,2,TRUE),IF($C69="DUCTED-INV",VLOOKUP($G69,'DX-Data'!$H$12:$J$18,2,TRUE),"CHOOSE AC TYPE")))),0)</f>
        <v>0</v>
      </c>
      <c r="AM69" s="77">
        <f t="shared" si="5"/>
        <v>4</v>
      </c>
      <c r="AN69" s="76" t="str">
        <f>IF(E69="","",VLOOKUP($AM69,'DX-Data'!$I$5:$J$31,2,FALSE))</f>
        <v>FDMRN36AVKU - RR36AVKU</v>
      </c>
      <c r="AO69" s="77">
        <f t="shared" si="6"/>
        <v>1</v>
      </c>
    </row>
    <row r="70" spans="2:41" x14ac:dyDescent="0.3">
      <c r="B70" s="71" t="s">
        <v>149</v>
      </c>
      <c r="C70" s="26" t="s">
        <v>38</v>
      </c>
      <c r="D70" s="27" t="s">
        <v>192</v>
      </c>
      <c r="E70" s="26">
        <v>3.2</v>
      </c>
      <c r="F70" s="26">
        <v>2.5</v>
      </c>
      <c r="G70" s="82">
        <v>204</v>
      </c>
      <c r="H70" s="74" t="str">
        <f t="shared" si="7"/>
        <v>FDMRN20AVKU - RR20AVKU</v>
      </c>
      <c r="I70" s="2">
        <v>2</v>
      </c>
      <c r="J70" s="21">
        <f>IF($H70="","",VLOOKUP($H70,Data!$C$6:$Y$29,2,FALSE))</f>
        <v>1.5</v>
      </c>
      <c r="K70" s="2" t="str">
        <f>IF($H70="","",VLOOKUP($H70,Data!$C$6:$Y$29,3,FALSE))</f>
        <v>Non-Inverter</v>
      </c>
      <c r="L70" s="2" t="str">
        <f>IF($H70="","",VLOOKUP($H70,Data!$C$6:$Y$29,4,FALSE))</f>
        <v>R-410A</v>
      </c>
      <c r="M70" s="2" t="str">
        <f>IF($H70="","",VLOOKUP($H70,Data!$C$6:$Y$29,5,FALSE))</f>
        <v>24/16</v>
      </c>
      <c r="N70" s="2">
        <f>IF($H70="","",VLOOKUP($H70,Data!$C$6:$Y$29,6,FALSE))</f>
        <v>46</v>
      </c>
      <c r="O70" s="2">
        <f>IF($H70="","",VLOOKUP($H70,Data!$C$6:$Y$29,7,FALSE))</f>
        <v>4.24</v>
      </c>
      <c r="P70" s="2">
        <f>IF($H70="","",VLOOKUP($H70,Data!$C$6:$Y$29,8,FALSE))</f>
        <v>4.1100000000000003</v>
      </c>
      <c r="Q70" s="2">
        <f>IF($H70="","",VLOOKUP($H70,Data!$C$6:$Y$29,9,FALSE))</f>
        <v>255</v>
      </c>
      <c r="R70" s="2" t="str">
        <f>IF($H70="","",VLOOKUP($H70,Data!$C$6:$Y$29,10,FALSE))</f>
        <v>MEDIUM</v>
      </c>
      <c r="S70" s="2">
        <f>IF($H70="","",VLOOKUP($H70,Data!$C$6:$Y$29,11,FALSE))</f>
        <v>1.77</v>
      </c>
      <c r="T70" s="2">
        <f>IF($H70="","",VLOOKUP($H70,Data!$C$6:$Y$29,12,FALSE))</f>
        <v>1.8</v>
      </c>
      <c r="U70" s="2">
        <f>IF($H70="","",VLOOKUP($H70,Data!$C$6:$Y$29,13,FALSE))</f>
        <v>3.49</v>
      </c>
      <c r="V70" s="2">
        <f>IF($H70="","",VLOOKUP($H70,Data!$C$6:$Y$29,14,FALSE))</f>
        <v>40</v>
      </c>
      <c r="W70" s="2" t="str">
        <f>IF($H70="","",VLOOKUP($H70,Data!$C$6:$Y$29,15,FALSE))</f>
        <v>220-240/1/50</v>
      </c>
      <c r="X70" s="2">
        <f>IF($H70="","",VLOOKUP($H70,Data!$C$6:$Y$29,16,FALSE))</f>
        <v>261</v>
      </c>
      <c r="Y70" s="2">
        <f>IF($H70="","",VLOOKUP($H70,Data!$C$6:$Y$29,17,FALSE))</f>
        <v>1200</v>
      </c>
      <c r="Z70" s="2">
        <f>IF($H70="","",VLOOKUP($H70,Data!$C$6:$Y$29,18,FALSE))</f>
        <v>448</v>
      </c>
      <c r="AA70" s="2">
        <f>IF($H70="","",VLOOKUP($H70,Data!$C$6:$Y$29,19,FALSE))</f>
        <v>753</v>
      </c>
      <c r="AB70" s="2">
        <f>IF($H70="","",VLOOKUP($H70,Data!$C$6:$Y$29,20,FALSE))</f>
        <v>855</v>
      </c>
      <c r="AC70" s="2">
        <f>IF($H70="","",VLOOKUP($H70,Data!$C$6:$Y$29,21,FALSE))</f>
        <v>328</v>
      </c>
      <c r="AD70" s="2">
        <f>IF($H70="","",VLOOKUP($H70,Data!$C$6:$Y$29,22,FALSE))</f>
        <v>26</v>
      </c>
      <c r="AE70" s="3">
        <f>IF($H70="","",VLOOKUP($H70,Data!$C$6:$Y$29,23,FALSE))</f>
        <v>47</v>
      </c>
      <c r="AG70" s="76" t="str">
        <f>IF($E70="","",IF($C70="DUCTED",VLOOKUP($E70,'DX-Data'!$D$5:$J$11,7,TRUE),IF($C70="DECORATIVE",VLOOKUP($E70,'DX-Data'!$D$19:$J$23,7,TRUE),IF($C70="PACKAGED",VLOOKUP($E70,'DX-Data'!$D$24:$J$30,7,TRUE),IF($C70="DUCTED-INV",VLOOKUP($E70,'DX-Data'!$D$12:$J$18,7,TRUE),"CHOOSE AC TYPE")))))</f>
        <v>FDMRN20AVKU - RR20AVKU</v>
      </c>
      <c r="AH70" s="76" t="str">
        <f>IF($F$9=TRUE,IF($C70="DUCTED",VLOOKUP($F70,'DX-Data'!$F$5:$J$11,5,TRUE),IF($C70="DECORATIVE",VLOOKUP($F70,'DX-Data'!$F$19:$J$23,5,TRUE),IF($C70="PACKAGED",VLOOKUP($F70,'DX-Data'!$F$24:$J$30,5,TRUE),IF($C70="DUCTED-INV",VLOOKUP($F70,'DX-Data'!$F$12:$J$18,5,TRUE),"CHOOSE AC TYPE")))),"NO SELECTION")</f>
        <v>FDMRN20AVKU - RR20AVKU</v>
      </c>
      <c r="AI70" s="76" t="str">
        <f>IF($G$9=TRUE,IF($C70="DUCTED",VLOOKUP($G70,'DX-Data'!$H$5:$J$11,3,TRUE),IF($C70="DECORATIVE",VLOOKUP($G70,'DX-Data'!$H$19:$J$23,3,TRUE),IF($C70="PACKAGED",VLOOKUP($G70,'DX-Data'!$H$24:$J$30,3,TRUE),IF($C70="DUCTED-INV",VLOOKUP($G70,'DX-Data'!$H$12:$J$18,3,TRUE),"CHOOSE AC TYPE")))),"NO SELECTION")</f>
        <v>NO SELECTION</v>
      </c>
      <c r="AJ70" s="77">
        <f>IF($E70="","",IF($C70="DUCTED",VLOOKUP($E70,'DX-Data'!$D$5:$J$11,6,TRUE),IF($C70="DECORATIVE",VLOOKUP($E70,'DX-Data'!$D$19:$J$23,6,TRUE),IF($C70="PACKAGED",VLOOKUP($E70,'DX-Data'!$D$24:$J$30,6,TRUE),IF($C70="DUCTED-INV",VLOOKUP($E70,'DX-Data'!$D$12:$J$18,6,TRUE),0)))))</f>
        <v>1</v>
      </c>
      <c r="AK70" s="77">
        <f>IF($F$9=TRUE,IF($C70="DUCTED",VLOOKUP($F70,'DX-Data'!$F$5:$J$11,4,TRUE),IF($C70="DECORATIVE",VLOOKUP($F70,'DX-Data'!$F$19:$J$23,4,TRUE),IF($C70="PACKAGED",VLOOKUP($F70,'DX-Data'!$F$24:$J$30,4,TRUE),IF($C70="DUCTED-INV",VLOOKUP($F70,'DX-Data'!$F$12:$J$18,4,TRUE),"CHOOSE AC TYPE")))),0)</f>
        <v>1</v>
      </c>
      <c r="AL70" s="77">
        <f>IF($G$9=TRUE,IF($C70="DUCTED",VLOOKUP($G70,'DX-Data'!$H$5:$J$11,2,TRUE),IF($C70="DECORATIVE",VLOOKUP($G70,'DX-Data'!$H$19:$J$23,2,TRUE),IF($C70="PACKAGED",VLOOKUP($G70,'DX-Data'!$H$24:$J$30,2,TRUE),IF($C70="DUCTED-INV",VLOOKUP($G70,'DX-Data'!$H$12:$J$18,2,TRUE),"CHOOSE AC TYPE")))),0)</f>
        <v>0</v>
      </c>
      <c r="AM70" s="77">
        <f t="shared" si="5"/>
        <v>1</v>
      </c>
      <c r="AN70" s="76" t="str">
        <f>IF(E70="","",VLOOKUP($AM70,'DX-Data'!$I$5:$J$31,2,FALSE))</f>
        <v>FDMRN20AVKU - RR20AVKU</v>
      </c>
      <c r="AO70" s="77">
        <f t="shared" si="6"/>
        <v>1</v>
      </c>
    </row>
    <row r="71" spans="2:41" x14ac:dyDescent="0.3">
      <c r="B71" s="71" t="s">
        <v>150</v>
      </c>
      <c r="C71" s="26" t="s">
        <v>38</v>
      </c>
      <c r="D71" s="27" t="s">
        <v>193</v>
      </c>
      <c r="E71" s="26">
        <v>3.2</v>
      </c>
      <c r="F71" s="26">
        <v>2.5</v>
      </c>
      <c r="G71" s="82">
        <v>204</v>
      </c>
      <c r="H71" s="74" t="str">
        <f t="shared" si="7"/>
        <v>FDMRN20AVKU - RR20AVKU</v>
      </c>
      <c r="I71" s="2">
        <v>2</v>
      </c>
      <c r="J71" s="21">
        <f>IF($H71="","",VLOOKUP($H71,Data!$C$6:$Y$29,2,FALSE))</f>
        <v>1.5</v>
      </c>
      <c r="K71" s="2" t="str">
        <f>IF($H71="","",VLOOKUP($H71,Data!$C$6:$Y$29,3,FALSE))</f>
        <v>Non-Inverter</v>
      </c>
      <c r="L71" s="2" t="str">
        <f>IF($H71="","",VLOOKUP($H71,Data!$C$6:$Y$29,4,FALSE))</f>
        <v>R-410A</v>
      </c>
      <c r="M71" s="2" t="str">
        <f>IF($H71="","",VLOOKUP($H71,Data!$C$6:$Y$29,5,FALSE))</f>
        <v>24/16</v>
      </c>
      <c r="N71" s="2">
        <f>IF($H71="","",VLOOKUP($H71,Data!$C$6:$Y$29,6,FALSE))</f>
        <v>46</v>
      </c>
      <c r="O71" s="2">
        <f>IF($H71="","",VLOOKUP($H71,Data!$C$6:$Y$29,7,FALSE))</f>
        <v>4.24</v>
      </c>
      <c r="P71" s="2">
        <f>IF($H71="","",VLOOKUP($H71,Data!$C$6:$Y$29,8,FALSE))</f>
        <v>4.1100000000000003</v>
      </c>
      <c r="Q71" s="2">
        <f>IF($H71="","",VLOOKUP($H71,Data!$C$6:$Y$29,9,FALSE))</f>
        <v>255</v>
      </c>
      <c r="R71" s="2" t="str">
        <f>IF($H71="","",VLOOKUP($H71,Data!$C$6:$Y$29,10,FALSE))</f>
        <v>MEDIUM</v>
      </c>
      <c r="S71" s="2">
        <f>IF($H71="","",VLOOKUP($H71,Data!$C$6:$Y$29,11,FALSE))</f>
        <v>1.77</v>
      </c>
      <c r="T71" s="2">
        <f>IF($H71="","",VLOOKUP($H71,Data!$C$6:$Y$29,12,FALSE))</f>
        <v>1.8</v>
      </c>
      <c r="U71" s="2">
        <f>IF($H71="","",VLOOKUP($H71,Data!$C$6:$Y$29,13,FALSE))</f>
        <v>3.49</v>
      </c>
      <c r="V71" s="2">
        <f>IF($H71="","",VLOOKUP($H71,Data!$C$6:$Y$29,14,FALSE))</f>
        <v>40</v>
      </c>
      <c r="W71" s="2" t="str">
        <f>IF($H71="","",VLOOKUP($H71,Data!$C$6:$Y$29,15,FALSE))</f>
        <v>220-240/1/50</v>
      </c>
      <c r="X71" s="2">
        <f>IF($H71="","",VLOOKUP($H71,Data!$C$6:$Y$29,16,FALSE))</f>
        <v>261</v>
      </c>
      <c r="Y71" s="2">
        <f>IF($H71="","",VLOOKUP($H71,Data!$C$6:$Y$29,17,FALSE))</f>
        <v>1200</v>
      </c>
      <c r="Z71" s="2">
        <f>IF($H71="","",VLOOKUP($H71,Data!$C$6:$Y$29,18,FALSE))</f>
        <v>448</v>
      </c>
      <c r="AA71" s="2">
        <f>IF($H71="","",VLOOKUP($H71,Data!$C$6:$Y$29,19,FALSE))</f>
        <v>753</v>
      </c>
      <c r="AB71" s="2">
        <f>IF($H71="","",VLOOKUP($H71,Data!$C$6:$Y$29,20,FALSE))</f>
        <v>855</v>
      </c>
      <c r="AC71" s="2">
        <f>IF($H71="","",VLOOKUP($H71,Data!$C$6:$Y$29,21,FALSE))</f>
        <v>328</v>
      </c>
      <c r="AD71" s="2">
        <f>IF($H71="","",VLOOKUP($H71,Data!$C$6:$Y$29,22,FALSE))</f>
        <v>26</v>
      </c>
      <c r="AE71" s="3">
        <f>IF($H71="","",VLOOKUP($H71,Data!$C$6:$Y$29,23,FALSE))</f>
        <v>47</v>
      </c>
      <c r="AG71" s="76" t="str">
        <f>IF($E71="","",IF($C71="DUCTED",VLOOKUP($E71,'DX-Data'!$D$5:$J$11,7,TRUE),IF($C71="DECORATIVE",VLOOKUP($E71,'DX-Data'!$D$19:$J$23,7,TRUE),IF($C71="PACKAGED",VLOOKUP($E71,'DX-Data'!$D$24:$J$30,7,TRUE),IF($C71="DUCTED-INV",VLOOKUP($E71,'DX-Data'!$D$12:$J$18,7,TRUE),"CHOOSE AC TYPE")))))</f>
        <v>FDMRN20AVKU - RR20AVKU</v>
      </c>
      <c r="AH71" s="76" t="str">
        <f>IF($F$9=TRUE,IF($C71="DUCTED",VLOOKUP($F71,'DX-Data'!$F$5:$J$11,5,TRUE),IF($C71="DECORATIVE",VLOOKUP($F71,'DX-Data'!$F$19:$J$23,5,TRUE),IF($C71="PACKAGED",VLOOKUP($F71,'DX-Data'!$F$24:$J$30,5,TRUE),IF($C71="DUCTED-INV",VLOOKUP($F71,'DX-Data'!$F$12:$J$18,5,TRUE),"CHOOSE AC TYPE")))),"NO SELECTION")</f>
        <v>FDMRN20AVKU - RR20AVKU</v>
      </c>
      <c r="AI71" s="76" t="str">
        <f>IF($G$9=TRUE,IF($C71="DUCTED",VLOOKUP($G71,'DX-Data'!$H$5:$J$11,3,TRUE),IF($C71="DECORATIVE",VLOOKUP($G71,'DX-Data'!$H$19:$J$23,3,TRUE),IF($C71="PACKAGED",VLOOKUP($G71,'DX-Data'!$H$24:$J$30,3,TRUE),IF($C71="DUCTED-INV",VLOOKUP($G71,'DX-Data'!$H$12:$J$18,3,TRUE),"CHOOSE AC TYPE")))),"NO SELECTION")</f>
        <v>NO SELECTION</v>
      </c>
      <c r="AJ71" s="77">
        <f>IF($E71="","",IF($C71="DUCTED",VLOOKUP($E71,'DX-Data'!$D$5:$J$11,6,TRUE),IF($C71="DECORATIVE",VLOOKUP($E71,'DX-Data'!$D$19:$J$23,6,TRUE),IF($C71="PACKAGED",VLOOKUP($E71,'DX-Data'!$D$24:$J$30,6,TRUE),IF($C71="DUCTED-INV",VLOOKUP($E71,'DX-Data'!$D$12:$J$18,6,TRUE),0)))))</f>
        <v>1</v>
      </c>
      <c r="AK71" s="77">
        <f>IF($F$9=TRUE,IF($C71="DUCTED",VLOOKUP($F71,'DX-Data'!$F$5:$J$11,4,TRUE),IF($C71="DECORATIVE",VLOOKUP($F71,'DX-Data'!$F$19:$J$23,4,TRUE),IF($C71="PACKAGED",VLOOKUP($F71,'DX-Data'!$F$24:$J$30,4,TRUE),IF($C71="DUCTED-INV",VLOOKUP($F71,'DX-Data'!$F$12:$J$18,4,TRUE),"CHOOSE AC TYPE")))),0)</f>
        <v>1</v>
      </c>
      <c r="AL71" s="77">
        <f>IF($G$9=TRUE,IF($C71="DUCTED",VLOOKUP($G71,'DX-Data'!$H$5:$J$11,2,TRUE),IF($C71="DECORATIVE",VLOOKUP($G71,'DX-Data'!$H$19:$J$23,2,TRUE),IF($C71="PACKAGED",VLOOKUP($G71,'DX-Data'!$H$24:$J$30,2,TRUE),IF($C71="DUCTED-INV",VLOOKUP($G71,'DX-Data'!$H$12:$J$18,2,TRUE),"CHOOSE AC TYPE")))),0)</f>
        <v>0</v>
      </c>
      <c r="AM71" s="77">
        <f t="shared" si="5"/>
        <v>1</v>
      </c>
      <c r="AN71" s="76" t="str">
        <f>IF(E71="","",VLOOKUP($AM71,'DX-Data'!$I$5:$J$31,2,FALSE))</f>
        <v>FDMRN20AVKU - RR20AVKU</v>
      </c>
      <c r="AO71" s="77">
        <f t="shared" si="6"/>
        <v>1</v>
      </c>
    </row>
    <row r="72" spans="2:41" x14ac:dyDescent="0.3">
      <c r="B72" s="71" t="s">
        <v>151</v>
      </c>
      <c r="C72" s="26" t="s">
        <v>38</v>
      </c>
      <c r="D72" s="27" t="s">
        <v>194</v>
      </c>
      <c r="E72" s="26">
        <v>3.2</v>
      </c>
      <c r="F72" s="26">
        <v>2.5</v>
      </c>
      <c r="G72" s="82">
        <v>204</v>
      </c>
      <c r="H72" s="74" t="str">
        <f t="shared" si="7"/>
        <v>FDMRN20AVKU - RR20AVKU</v>
      </c>
      <c r="I72" s="2">
        <v>2</v>
      </c>
      <c r="J72" s="21">
        <f>IF($H72="","",VLOOKUP($H72,Data!$C$6:$Y$29,2,FALSE))</f>
        <v>1.5</v>
      </c>
      <c r="K72" s="2" t="str">
        <f>IF($H72="","",VLOOKUP($H72,Data!$C$6:$Y$29,3,FALSE))</f>
        <v>Non-Inverter</v>
      </c>
      <c r="L72" s="2" t="str">
        <f>IF($H72="","",VLOOKUP($H72,Data!$C$6:$Y$29,4,FALSE))</f>
        <v>R-410A</v>
      </c>
      <c r="M72" s="2" t="str">
        <f>IF($H72="","",VLOOKUP($H72,Data!$C$6:$Y$29,5,FALSE))</f>
        <v>24/16</v>
      </c>
      <c r="N72" s="2">
        <f>IF($H72="","",VLOOKUP($H72,Data!$C$6:$Y$29,6,FALSE))</f>
        <v>46</v>
      </c>
      <c r="O72" s="2">
        <f>IF($H72="","",VLOOKUP($H72,Data!$C$6:$Y$29,7,FALSE))</f>
        <v>4.24</v>
      </c>
      <c r="P72" s="2">
        <f>IF($H72="","",VLOOKUP($H72,Data!$C$6:$Y$29,8,FALSE))</f>
        <v>4.1100000000000003</v>
      </c>
      <c r="Q72" s="2">
        <f>IF($H72="","",VLOOKUP($H72,Data!$C$6:$Y$29,9,FALSE))</f>
        <v>255</v>
      </c>
      <c r="R72" s="2" t="str">
        <f>IF($H72="","",VLOOKUP($H72,Data!$C$6:$Y$29,10,FALSE))</f>
        <v>MEDIUM</v>
      </c>
      <c r="S72" s="2">
        <f>IF($H72="","",VLOOKUP($H72,Data!$C$6:$Y$29,11,FALSE))</f>
        <v>1.77</v>
      </c>
      <c r="T72" s="2">
        <f>IF($H72="","",VLOOKUP($H72,Data!$C$6:$Y$29,12,FALSE))</f>
        <v>1.8</v>
      </c>
      <c r="U72" s="2">
        <f>IF($H72="","",VLOOKUP($H72,Data!$C$6:$Y$29,13,FALSE))</f>
        <v>3.49</v>
      </c>
      <c r="V72" s="2">
        <f>IF($H72="","",VLOOKUP($H72,Data!$C$6:$Y$29,14,FALSE))</f>
        <v>40</v>
      </c>
      <c r="W72" s="2" t="str">
        <f>IF($H72="","",VLOOKUP($H72,Data!$C$6:$Y$29,15,FALSE))</f>
        <v>220-240/1/50</v>
      </c>
      <c r="X72" s="2">
        <f>IF($H72="","",VLOOKUP($H72,Data!$C$6:$Y$29,16,FALSE))</f>
        <v>261</v>
      </c>
      <c r="Y72" s="2">
        <f>IF($H72="","",VLOOKUP($H72,Data!$C$6:$Y$29,17,FALSE))</f>
        <v>1200</v>
      </c>
      <c r="Z72" s="2">
        <f>IF($H72="","",VLOOKUP($H72,Data!$C$6:$Y$29,18,FALSE))</f>
        <v>448</v>
      </c>
      <c r="AA72" s="2">
        <f>IF($H72="","",VLOOKUP($H72,Data!$C$6:$Y$29,19,FALSE))</f>
        <v>753</v>
      </c>
      <c r="AB72" s="2">
        <f>IF($H72="","",VLOOKUP($H72,Data!$C$6:$Y$29,20,FALSE))</f>
        <v>855</v>
      </c>
      <c r="AC72" s="2">
        <f>IF($H72="","",VLOOKUP($H72,Data!$C$6:$Y$29,21,FALSE))</f>
        <v>328</v>
      </c>
      <c r="AD72" s="2">
        <f>IF($H72="","",VLOOKUP($H72,Data!$C$6:$Y$29,22,FALSE))</f>
        <v>26</v>
      </c>
      <c r="AE72" s="3">
        <f>IF($H72="","",VLOOKUP($H72,Data!$C$6:$Y$29,23,FALSE))</f>
        <v>47</v>
      </c>
      <c r="AG72" s="76" t="str">
        <f>IF($E72="","",IF($C72="DUCTED",VLOOKUP($E72,'DX-Data'!$D$5:$J$11,7,TRUE),IF($C72="DECORATIVE",VLOOKUP($E72,'DX-Data'!$D$19:$J$23,7,TRUE),IF($C72="PACKAGED",VLOOKUP($E72,'DX-Data'!$D$24:$J$30,7,TRUE),IF($C72="DUCTED-INV",VLOOKUP($E72,'DX-Data'!$D$12:$J$18,7,TRUE),"CHOOSE AC TYPE")))))</f>
        <v>FDMRN20AVKU - RR20AVKU</v>
      </c>
      <c r="AH72" s="76" t="str">
        <f>IF($F$9=TRUE,IF($C72="DUCTED",VLOOKUP($F72,'DX-Data'!$F$5:$J$11,5,TRUE),IF($C72="DECORATIVE",VLOOKUP($F72,'DX-Data'!$F$19:$J$23,5,TRUE),IF($C72="PACKAGED",VLOOKUP($F72,'DX-Data'!$F$24:$J$30,5,TRUE),IF($C72="DUCTED-INV",VLOOKUP($F72,'DX-Data'!$F$12:$J$18,5,TRUE),"CHOOSE AC TYPE")))),"NO SELECTION")</f>
        <v>FDMRN20AVKU - RR20AVKU</v>
      </c>
      <c r="AI72" s="76" t="str">
        <f>IF($G$9=TRUE,IF($C72="DUCTED",VLOOKUP($G72,'DX-Data'!$H$5:$J$11,3,TRUE),IF($C72="DECORATIVE",VLOOKUP($G72,'DX-Data'!$H$19:$J$23,3,TRUE),IF($C72="PACKAGED",VLOOKUP($G72,'DX-Data'!$H$24:$J$30,3,TRUE),IF($C72="DUCTED-INV",VLOOKUP($G72,'DX-Data'!$H$12:$J$18,3,TRUE),"CHOOSE AC TYPE")))),"NO SELECTION")</f>
        <v>NO SELECTION</v>
      </c>
      <c r="AJ72" s="77">
        <f>IF($E72="","",IF($C72="DUCTED",VLOOKUP($E72,'DX-Data'!$D$5:$J$11,6,TRUE),IF($C72="DECORATIVE",VLOOKUP($E72,'DX-Data'!$D$19:$J$23,6,TRUE),IF($C72="PACKAGED",VLOOKUP($E72,'DX-Data'!$D$24:$J$30,6,TRUE),IF($C72="DUCTED-INV",VLOOKUP($E72,'DX-Data'!$D$12:$J$18,6,TRUE),0)))))</f>
        <v>1</v>
      </c>
      <c r="AK72" s="77">
        <f>IF($F$9=TRUE,IF($C72="DUCTED",VLOOKUP($F72,'DX-Data'!$F$5:$J$11,4,TRUE),IF($C72="DECORATIVE",VLOOKUP($F72,'DX-Data'!$F$19:$J$23,4,TRUE),IF($C72="PACKAGED",VLOOKUP($F72,'DX-Data'!$F$24:$J$30,4,TRUE),IF($C72="DUCTED-INV",VLOOKUP($F72,'DX-Data'!$F$12:$J$18,4,TRUE),"CHOOSE AC TYPE")))),0)</f>
        <v>1</v>
      </c>
      <c r="AL72" s="77">
        <f>IF($G$9=TRUE,IF($C72="DUCTED",VLOOKUP($G72,'DX-Data'!$H$5:$J$11,2,TRUE),IF($C72="DECORATIVE",VLOOKUP($G72,'DX-Data'!$H$19:$J$23,2,TRUE),IF($C72="PACKAGED",VLOOKUP($G72,'DX-Data'!$H$24:$J$30,2,TRUE),IF($C72="DUCTED-INV",VLOOKUP($G72,'DX-Data'!$H$12:$J$18,2,TRUE),"CHOOSE AC TYPE")))),0)</f>
        <v>0</v>
      </c>
      <c r="AM72" s="77">
        <f t="shared" si="5"/>
        <v>1</v>
      </c>
      <c r="AN72" s="76" t="str">
        <f>IF(E72="","",VLOOKUP($AM72,'DX-Data'!$I$5:$J$31,2,FALSE))</f>
        <v>FDMRN20AVKU - RR20AVKU</v>
      </c>
      <c r="AO72" s="77">
        <f t="shared" si="6"/>
        <v>1</v>
      </c>
    </row>
    <row r="73" spans="2:41" x14ac:dyDescent="0.3">
      <c r="B73" s="71" t="s">
        <v>152</v>
      </c>
      <c r="C73" s="26" t="s">
        <v>38</v>
      </c>
      <c r="D73" s="27" t="s">
        <v>195</v>
      </c>
      <c r="E73" s="26">
        <v>7.5</v>
      </c>
      <c r="F73" s="26">
        <v>6</v>
      </c>
      <c r="G73" s="82">
        <v>491</v>
      </c>
      <c r="H73" s="74" t="str">
        <f t="shared" si="7"/>
        <v>FDMRN36AVKU - RR36AVKU</v>
      </c>
      <c r="I73" s="2">
        <v>2</v>
      </c>
      <c r="J73" s="21">
        <f>IF($H73="","",VLOOKUP($H73,Data!$C$6:$Y$29,2,FALSE))</f>
        <v>3</v>
      </c>
      <c r="K73" s="2" t="str">
        <f>IF($H73="","",VLOOKUP($H73,Data!$C$6:$Y$29,3,FALSE))</f>
        <v>Non-Inverter</v>
      </c>
      <c r="L73" s="2" t="str">
        <f>IF($H73="","",VLOOKUP($H73,Data!$C$6:$Y$29,4,FALSE))</f>
        <v>R-410A</v>
      </c>
      <c r="M73" s="2" t="str">
        <f>IF($H73="","",VLOOKUP($H73,Data!$C$6:$Y$29,5,FALSE))</f>
        <v>24/16</v>
      </c>
      <c r="N73" s="2">
        <f>IF($H73="","",VLOOKUP($H73,Data!$C$6:$Y$29,6,FALSE))</f>
        <v>46</v>
      </c>
      <c r="O73" s="2">
        <f>IF($H73="","",VLOOKUP($H73,Data!$C$6:$Y$29,7,FALSE))</f>
        <v>8.42</v>
      </c>
      <c r="P73" s="2">
        <f>IF($H73="","",VLOOKUP($H73,Data!$C$6:$Y$29,8,FALSE))</f>
        <v>8.18</v>
      </c>
      <c r="Q73" s="2">
        <f>IF($H73="","",VLOOKUP($H73,Data!$C$6:$Y$29,9,FALSE))</f>
        <v>650</v>
      </c>
      <c r="R73" s="2" t="str">
        <f>IF($H73="","",VLOOKUP($H73,Data!$C$6:$Y$29,10,FALSE))</f>
        <v>MEDIUM</v>
      </c>
      <c r="S73" s="2">
        <f>IF($H73="","",VLOOKUP($H73,Data!$C$6:$Y$29,11,FALSE))</f>
        <v>3.39</v>
      </c>
      <c r="T73" s="2">
        <f>IF($H73="","",VLOOKUP($H73,Data!$C$6:$Y$29,12,FALSE))</f>
        <v>3.55</v>
      </c>
      <c r="U73" s="2">
        <f>IF($H73="","",VLOOKUP($H73,Data!$C$6:$Y$29,13,FALSE))</f>
        <v>3.56</v>
      </c>
      <c r="V73" s="2">
        <f>IF($H73="","",VLOOKUP($H73,Data!$C$6:$Y$29,14,FALSE))</f>
        <v>50</v>
      </c>
      <c r="W73" s="2" t="str">
        <f>IF($H73="","",VLOOKUP($H73,Data!$C$6:$Y$29,15,FALSE))</f>
        <v>220-240/1/50</v>
      </c>
      <c r="X73" s="2">
        <f>IF($H73="","",VLOOKUP($H73,Data!$C$6:$Y$29,16,FALSE))</f>
        <v>378</v>
      </c>
      <c r="Y73" s="2">
        <f>IF($H73="","",VLOOKUP($H73,Data!$C$6:$Y$29,17,FALSE))</f>
        <v>1369</v>
      </c>
      <c r="Z73" s="2">
        <f>IF($H73="","",VLOOKUP($H73,Data!$C$6:$Y$29,18,FALSE))</f>
        <v>541</v>
      </c>
      <c r="AA73" s="2">
        <f>IF($H73="","",VLOOKUP($H73,Data!$C$6:$Y$29,19,FALSE))</f>
        <v>852</v>
      </c>
      <c r="AB73" s="2">
        <f>IF($H73="","",VLOOKUP($H73,Data!$C$6:$Y$29,20,FALSE))</f>
        <v>1030</v>
      </c>
      <c r="AC73" s="2">
        <f>IF($H73="","",VLOOKUP($H73,Data!$C$6:$Y$29,21,FALSE))</f>
        <v>400</v>
      </c>
      <c r="AD73" s="2">
        <f>IF($H73="","",VLOOKUP($H73,Data!$C$6:$Y$29,22,FALSE))</f>
        <v>50</v>
      </c>
      <c r="AE73" s="3">
        <f>IF($H73="","",VLOOKUP($H73,Data!$C$6:$Y$29,23,FALSE))</f>
        <v>92</v>
      </c>
      <c r="AG73" s="76" t="str">
        <f>IF($E73="","",IF($C73="DUCTED",VLOOKUP($E73,'DX-Data'!$D$5:$J$11,7,TRUE),IF($C73="DECORATIVE",VLOOKUP($E73,'DX-Data'!$D$19:$J$23,7,TRUE),IF($C73="PACKAGED",VLOOKUP($E73,'DX-Data'!$D$24:$J$30,7,TRUE),IF($C73="DUCTED-INV",VLOOKUP($E73,'DX-Data'!$D$12:$J$18,7,TRUE),"CHOOSE AC TYPE")))))</f>
        <v>FDMRN36AVKU - RR36AVKU</v>
      </c>
      <c r="AH73" s="76" t="str">
        <f>IF($F$9=TRUE,IF($C73="DUCTED",VLOOKUP($F73,'DX-Data'!$F$5:$J$11,5,TRUE),IF($C73="DECORATIVE",VLOOKUP($F73,'DX-Data'!$F$19:$J$23,5,TRUE),IF($C73="PACKAGED",VLOOKUP($F73,'DX-Data'!$F$24:$J$30,5,TRUE),IF($C73="DUCTED-INV",VLOOKUP($F73,'DX-Data'!$F$12:$J$18,5,TRUE),"CHOOSE AC TYPE")))),"NO SELECTION")</f>
        <v>FDMRN30AVKU - RR30AVKU</v>
      </c>
      <c r="AI73" s="76" t="str">
        <f>IF($G$9=TRUE,IF($C73="DUCTED",VLOOKUP($G73,'DX-Data'!$H$5:$J$11,3,TRUE),IF($C73="DECORATIVE",VLOOKUP($G73,'DX-Data'!$H$19:$J$23,3,TRUE),IF($C73="PACKAGED",VLOOKUP($G73,'DX-Data'!$H$24:$J$30,3,TRUE),IF($C73="DUCTED-INV",VLOOKUP($G73,'DX-Data'!$H$12:$J$18,3,TRUE),"CHOOSE AC TYPE")))),"NO SELECTION")</f>
        <v>NO SELECTION</v>
      </c>
      <c r="AJ73" s="77">
        <f>IF($E73="","",IF($C73="DUCTED",VLOOKUP($E73,'DX-Data'!$D$5:$J$11,6,TRUE),IF($C73="DECORATIVE",VLOOKUP($E73,'DX-Data'!$D$19:$J$23,6,TRUE),IF($C73="PACKAGED",VLOOKUP($E73,'DX-Data'!$D$24:$J$30,6,TRUE),IF($C73="DUCTED-INV",VLOOKUP($E73,'DX-Data'!$D$12:$J$18,6,TRUE),0)))))</f>
        <v>4</v>
      </c>
      <c r="AK73" s="77">
        <f>IF($F$9=TRUE,IF($C73="DUCTED",VLOOKUP($F73,'DX-Data'!$F$5:$J$11,4,TRUE),IF($C73="DECORATIVE",VLOOKUP($F73,'DX-Data'!$F$19:$J$23,4,TRUE),IF($C73="PACKAGED",VLOOKUP($F73,'DX-Data'!$F$24:$J$30,4,TRUE),IF($C73="DUCTED-INV",VLOOKUP($F73,'DX-Data'!$F$12:$J$18,4,TRUE),"CHOOSE AC TYPE")))),0)</f>
        <v>3</v>
      </c>
      <c r="AL73" s="77">
        <f>IF($G$9=TRUE,IF($C73="DUCTED",VLOOKUP($G73,'DX-Data'!$H$5:$J$11,2,TRUE),IF($C73="DECORATIVE",VLOOKUP($G73,'DX-Data'!$H$19:$J$23,2,TRUE),IF($C73="PACKAGED",VLOOKUP($G73,'DX-Data'!$H$24:$J$30,2,TRUE),IF($C73="DUCTED-INV",VLOOKUP($G73,'DX-Data'!$H$12:$J$18,2,TRUE),"CHOOSE AC TYPE")))),0)</f>
        <v>0</v>
      </c>
      <c r="AM73" s="77">
        <f t="shared" si="5"/>
        <v>4</v>
      </c>
      <c r="AN73" s="76" t="str">
        <f>IF(E73="","",VLOOKUP($AM73,'DX-Data'!$I$5:$J$31,2,FALSE))</f>
        <v>FDMRN36AVKU - RR36AVKU</v>
      </c>
      <c r="AO73" s="77">
        <f t="shared" si="6"/>
        <v>1</v>
      </c>
    </row>
    <row r="74" spans="2:41" x14ac:dyDescent="0.3">
      <c r="B74" s="71" t="s">
        <v>153</v>
      </c>
      <c r="C74" s="26" t="s">
        <v>38</v>
      </c>
      <c r="D74" s="27" t="s">
        <v>196</v>
      </c>
      <c r="E74" s="26">
        <v>4.8</v>
      </c>
      <c r="F74" s="26">
        <v>4.0999999999999996</v>
      </c>
      <c r="G74" s="82">
        <v>343</v>
      </c>
      <c r="H74" s="74" t="str">
        <f t="shared" si="7"/>
        <v>FDMRN25AVKU - RR25AVKU</v>
      </c>
      <c r="I74" s="2">
        <v>2</v>
      </c>
      <c r="J74" s="21">
        <f>IF($H74="","",VLOOKUP($H74,Data!$C$6:$Y$29,2,FALSE))</f>
        <v>2</v>
      </c>
      <c r="K74" s="2" t="str">
        <f>IF($H74="","",VLOOKUP($H74,Data!$C$6:$Y$29,3,FALSE))</f>
        <v>Non-Inverter</v>
      </c>
      <c r="L74" s="2" t="str">
        <f>IF($H74="","",VLOOKUP($H74,Data!$C$6:$Y$29,4,FALSE))</f>
        <v>R-410A</v>
      </c>
      <c r="M74" s="2" t="str">
        <f>IF($H74="","",VLOOKUP($H74,Data!$C$6:$Y$29,5,FALSE))</f>
        <v>24/16</v>
      </c>
      <c r="N74" s="2">
        <f>IF($H74="","",VLOOKUP($H74,Data!$C$6:$Y$29,6,FALSE))</f>
        <v>46</v>
      </c>
      <c r="O74" s="2">
        <f>IF($H74="","",VLOOKUP($H74,Data!$C$6:$Y$29,7,FALSE))</f>
        <v>5.48</v>
      </c>
      <c r="P74" s="2">
        <f>IF($H74="","",VLOOKUP($H74,Data!$C$6:$Y$29,8,FALSE))</f>
        <v>5.05</v>
      </c>
      <c r="Q74" s="2">
        <f>IF($H74="","",VLOOKUP($H74,Data!$C$6:$Y$29,9,FALSE))</f>
        <v>303</v>
      </c>
      <c r="R74" s="2" t="str">
        <f>IF($H74="","",VLOOKUP($H74,Data!$C$6:$Y$29,10,FALSE))</f>
        <v>MEDIUM</v>
      </c>
      <c r="S74" s="2">
        <f>IF($H74="","",VLOOKUP($H74,Data!$C$6:$Y$29,11,FALSE))</f>
        <v>2.29</v>
      </c>
      <c r="T74" s="2">
        <f>IF($H74="","",VLOOKUP($H74,Data!$C$6:$Y$29,12,FALSE))</f>
        <v>2.35</v>
      </c>
      <c r="U74" s="2">
        <f>IF($H74="","",VLOOKUP($H74,Data!$C$6:$Y$29,13,FALSE))</f>
        <v>3.44</v>
      </c>
      <c r="V74" s="2">
        <f>IF($H74="","",VLOOKUP($H74,Data!$C$6:$Y$29,14,FALSE))</f>
        <v>40</v>
      </c>
      <c r="W74" s="2" t="str">
        <f>IF($H74="","",VLOOKUP($H74,Data!$C$6:$Y$29,15,FALSE))</f>
        <v>220-240/1/50</v>
      </c>
      <c r="X74" s="2">
        <f>IF($H74="","",VLOOKUP($H74,Data!$C$6:$Y$29,16,FALSE))</f>
        <v>378</v>
      </c>
      <c r="Y74" s="2">
        <f>IF($H74="","",VLOOKUP($H74,Data!$C$6:$Y$29,17,FALSE))</f>
        <v>1115</v>
      </c>
      <c r="Z74" s="2">
        <f>IF($H74="","",VLOOKUP($H74,Data!$C$6:$Y$29,18,FALSE))</f>
        <v>541</v>
      </c>
      <c r="AA74" s="2">
        <f>IF($H74="","",VLOOKUP($H74,Data!$C$6:$Y$29,19,FALSE))</f>
        <v>753</v>
      </c>
      <c r="AB74" s="2">
        <f>IF($H74="","",VLOOKUP($H74,Data!$C$6:$Y$29,20,FALSE))</f>
        <v>855</v>
      </c>
      <c r="AC74" s="2">
        <f>IF($H74="","",VLOOKUP($H74,Data!$C$6:$Y$29,21,FALSE))</f>
        <v>328</v>
      </c>
      <c r="AD74" s="2">
        <f>IF($H74="","",VLOOKUP($H74,Data!$C$6:$Y$29,22,FALSE))</f>
        <v>44</v>
      </c>
      <c r="AE74" s="3">
        <f>IF($H74="","",VLOOKUP($H74,Data!$C$6:$Y$29,23,FALSE))</f>
        <v>51</v>
      </c>
      <c r="AG74" s="76" t="str">
        <f>IF($E74="","",IF($C74="DUCTED",VLOOKUP($E74,'DX-Data'!$D$5:$J$11,7,TRUE),IF($C74="DECORATIVE",VLOOKUP($E74,'DX-Data'!$D$19:$J$23,7,TRUE),IF($C74="PACKAGED",VLOOKUP($E74,'DX-Data'!$D$24:$J$30,7,TRUE),IF($C74="DUCTED-INV",VLOOKUP($E74,'DX-Data'!$D$12:$J$18,7,TRUE),"CHOOSE AC TYPE")))))</f>
        <v>FDMRN25AVKU - RR25AVKU</v>
      </c>
      <c r="AH74" s="76" t="str">
        <f>IF($F$9=TRUE,IF($C74="DUCTED",VLOOKUP($F74,'DX-Data'!$F$5:$J$11,5,TRUE),IF($C74="DECORATIVE",VLOOKUP($F74,'DX-Data'!$F$19:$J$23,5,TRUE),IF($C74="PACKAGED",VLOOKUP($F74,'DX-Data'!$F$24:$J$30,5,TRUE),IF($C74="DUCTED-INV",VLOOKUP($F74,'DX-Data'!$F$12:$J$18,5,TRUE),"CHOOSE AC TYPE")))),"NO SELECTION")</f>
        <v>FDMRN20AVKU - RR20AVKU</v>
      </c>
      <c r="AI74" s="76" t="str">
        <f>IF($G$9=TRUE,IF($C74="DUCTED",VLOOKUP($G74,'DX-Data'!$H$5:$J$11,3,TRUE),IF($C74="DECORATIVE",VLOOKUP($G74,'DX-Data'!$H$19:$J$23,3,TRUE),IF($C74="PACKAGED",VLOOKUP($G74,'DX-Data'!$H$24:$J$30,3,TRUE),IF($C74="DUCTED-INV",VLOOKUP($G74,'DX-Data'!$H$12:$J$18,3,TRUE),"CHOOSE AC TYPE")))),"NO SELECTION")</f>
        <v>NO SELECTION</v>
      </c>
      <c r="AJ74" s="77">
        <f>IF($E74="","",IF($C74="DUCTED",VLOOKUP($E74,'DX-Data'!$D$5:$J$11,6,TRUE),IF($C74="DECORATIVE",VLOOKUP($E74,'DX-Data'!$D$19:$J$23,6,TRUE),IF($C74="PACKAGED",VLOOKUP($E74,'DX-Data'!$D$24:$J$30,6,TRUE),IF($C74="DUCTED-INV",VLOOKUP($E74,'DX-Data'!$D$12:$J$18,6,TRUE),0)))))</f>
        <v>2</v>
      </c>
      <c r="AK74" s="77">
        <f>IF($F$9=TRUE,IF($C74="DUCTED",VLOOKUP($F74,'DX-Data'!$F$5:$J$11,4,TRUE),IF($C74="DECORATIVE",VLOOKUP($F74,'DX-Data'!$F$19:$J$23,4,TRUE),IF($C74="PACKAGED",VLOOKUP($F74,'DX-Data'!$F$24:$J$30,4,TRUE),IF($C74="DUCTED-INV",VLOOKUP($F74,'DX-Data'!$F$12:$J$18,4,TRUE),"CHOOSE AC TYPE")))),0)</f>
        <v>1</v>
      </c>
      <c r="AL74" s="77">
        <f>IF($G$9=TRUE,IF($C74="DUCTED",VLOOKUP($G74,'DX-Data'!$H$5:$J$11,2,TRUE),IF($C74="DECORATIVE",VLOOKUP($G74,'DX-Data'!$H$19:$J$23,2,TRUE),IF($C74="PACKAGED",VLOOKUP($G74,'DX-Data'!$H$24:$J$30,2,TRUE),IF($C74="DUCTED-INV",VLOOKUP($G74,'DX-Data'!$H$12:$J$18,2,TRUE),"CHOOSE AC TYPE")))),0)</f>
        <v>0</v>
      </c>
      <c r="AM74" s="77">
        <f t="shared" si="5"/>
        <v>2</v>
      </c>
      <c r="AN74" s="76" t="str">
        <f>IF(E74="","",VLOOKUP($AM74,'DX-Data'!$I$5:$J$31,2,FALSE))</f>
        <v>FDMRN25AVKU - RR25AVKU</v>
      </c>
      <c r="AO74" s="77">
        <f t="shared" si="6"/>
        <v>1</v>
      </c>
    </row>
    <row r="75" spans="2:41" x14ac:dyDescent="0.3">
      <c r="B75" s="71" t="s">
        <v>154</v>
      </c>
      <c r="C75" s="26" t="s">
        <v>38</v>
      </c>
      <c r="D75" s="27" t="s">
        <v>197</v>
      </c>
      <c r="E75" s="26">
        <v>4.8</v>
      </c>
      <c r="F75" s="26">
        <v>4.0999999999999996</v>
      </c>
      <c r="G75" s="82">
        <v>343</v>
      </c>
      <c r="H75" s="74" t="str">
        <f t="shared" si="7"/>
        <v>FDMRN25AVKU - RR25AVKU</v>
      </c>
      <c r="I75" s="2">
        <v>2</v>
      </c>
      <c r="J75" s="21">
        <f>IF($H75="","",VLOOKUP($H75,Data!$C$6:$Y$29,2,FALSE))</f>
        <v>2</v>
      </c>
      <c r="K75" s="2" t="str">
        <f>IF($H75="","",VLOOKUP($H75,Data!$C$6:$Y$29,3,FALSE))</f>
        <v>Non-Inverter</v>
      </c>
      <c r="L75" s="2" t="str">
        <f>IF($H75="","",VLOOKUP($H75,Data!$C$6:$Y$29,4,FALSE))</f>
        <v>R-410A</v>
      </c>
      <c r="M75" s="2" t="str">
        <f>IF($H75="","",VLOOKUP($H75,Data!$C$6:$Y$29,5,FALSE))</f>
        <v>24/16</v>
      </c>
      <c r="N75" s="2">
        <f>IF($H75="","",VLOOKUP($H75,Data!$C$6:$Y$29,6,FALSE))</f>
        <v>46</v>
      </c>
      <c r="O75" s="2">
        <f>IF($H75="","",VLOOKUP($H75,Data!$C$6:$Y$29,7,FALSE))</f>
        <v>5.48</v>
      </c>
      <c r="P75" s="2">
        <f>IF($H75="","",VLOOKUP($H75,Data!$C$6:$Y$29,8,FALSE))</f>
        <v>5.05</v>
      </c>
      <c r="Q75" s="2">
        <f>IF($H75="","",VLOOKUP($H75,Data!$C$6:$Y$29,9,FALSE))</f>
        <v>303</v>
      </c>
      <c r="R75" s="2" t="str">
        <f>IF($H75="","",VLOOKUP($H75,Data!$C$6:$Y$29,10,FALSE))</f>
        <v>MEDIUM</v>
      </c>
      <c r="S75" s="2">
        <f>IF($H75="","",VLOOKUP($H75,Data!$C$6:$Y$29,11,FALSE))</f>
        <v>2.29</v>
      </c>
      <c r="T75" s="2">
        <f>IF($H75="","",VLOOKUP($H75,Data!$C$6:$Y$29,12,FALSE))</f>
        <v>2.35</v>
      </c>
      <c r="U75" s="2">
        <f>IF($H75="","",VLOOKUP($H75,Data!$C$6:$Y$29,13,FALSE))</f>
        <v>3.44</v>
      </c>
      <c r="V75" s="2">
        <f>IF($H75="","",VLOOKUP($H75,Data!$C$6:$Y$29,14,FALSE))</f>
        <v>40</v>
      </c>
      <c r="W75" s="2" t="str">
        <f>IF($H75="","",VLOOKUP($H75,Data!$C$6:$Y$29,15,FALSE))</f>
        <v>220-240/1/50</v>
      </c>
      <c r="X75" s="2">
        <f>IF($H75="","",VLOOKUP($H75,Data!$C$6:$Y$29,16,FALSE))</f>
        <v>378</v>
      </c>
      <c r="Y75" s="2">
        <f>IF($H75="","",VLOOKUP($H75,Data!$C$6:$Y$29,17,FALSE))</f>
        <v>1115</v>
      </c>
      <c r="Z75" s="2">
        <f>IF($H75="","",VLOOKUP($H75,Data!$C$6:$Y$29,18,FALSE))</f>
        <v>541</v>
      </c>
      <c r="AA75" s="2">
        <f>IF($H75="","",VLOOKUP($H75,Data!$C$6:$Y$29,19,FALSE))</f>
        <v>753</v>
      </c>
      <c r="AB75" s="2">
        <f>IF($H75="","",VLOOKUP($H75,Data!$C$6:$Y$29,20,FALSE))</f>
        <v>855</v>
      </c>
      <c r="AC75" s="2">
        <f>IF($H75="","",VLOOKUP($H75,Data!$C$6:$Y$29,21,FALSE))</f>
        <v>328</v>
      </c>
      <c r="AD75" s="2">
        <f>IF($H75="","",VLOOKUP($H75,Data!$C$6:$Y$29,22,FALSE))</f>
        <v>44</v>
      </c>
      <c r="AE75" s="3">
        <f>IF($H75="","",VLOOKUP($H75,Data!$C$6:$Y$29,23,FALSE))</f>
        <v>51</v>
      </c>
      <c r="AG75" s="76" t="str">
        <f>IF($E75="","",IF($C75="DUCTED",VLOOKUP($E75,'DX-Data'!$D$5:$J$11,7,TRUE),IF($C75="DECORATIVE",VLOOKUP($E75,'DX-Data'!$D$19:$J$23,7,TRUE),IF($C75="PACKAGED",VLOOKUP($E75,'DX-Data'!$D$24:$J$30,7,TRUE),IF($C75="DUCTED-INV",VLOOKUP($E75,'DX-Data'!$D$12:$J$18,7,TRUE),"CHOOSE AC TYPE")))))</f>
        <v>FDMRN25AVKU - RR25AVKU</v>
      </c>
      <c r="AH75" s="76" t="str">
        <f>IF($F$9=TRUE,IF($C75="DUCTED",VLOOKUP($F75,'DX-Data'!$F$5:$J$11,5,TRUE),IF($C75="DECORATIVE",VLOOKUP($F75,'DX-Data'!$F$19:$J$23,5,TRUE),IF($C75="PACKAGED",VLOOKUP($F75,'DX-Data'!$F$24:$J$30,5,TRUE),IF($C75="DUCTED-INV",VLOOKUP($F75,'DX-Data'!$F$12:$J$18,5,TRUE),"CHOOSE AC TYPE")))),"NO SELECTION")</f>
        <v>FDMRN20AVKU - RR20AVKU</v>
      </c>
      <c r="AI75" s="76" t="str">
        <f>IF($G$9=TRUE,IF($C75="DUCTED",VLOOKUP($G75,'DX-Data'!$H$5:$J$11,3,TRUE),IF($C75="DECORATIVE",VLOOKUP($G75,'DX-Data'!$H$19:$J$23,3,TRUE),IF($C75="PACKAGED",VLOOKUP($G75,'DX-Data'!$H$24:$J$30,3,TRUE),IF($C75="DUCTED-INV",VLOOKUP($G75,'DX-Data'!$H$12:$J$18,3,TRUE),"CHOOSE AC TYPE")))),"NO SELECTION")</f>
        <v>NO SELECTION</v>
      </c>
      <c r="AJ75" s="77">
        <f>IF($E75="","",IF($C75="DUCTED",VLOOKUP($E75,'DX-Data'!$D$5:$J$11,6,TRUE),IF($C75="DECORATIVE",VLOOKUP($E75,'DX-Data'!$D$19:$J$23,6,TRUE),IF($C75="PACKAGED",VLOOKUP($E75,'DX-Data'!$D$24:$J$30,6,TRUE),IF($C75="DUCTED-INV",VLOOKUP($E75,'DX-Data'!$D$12:$J$18,6,TRUE),0)))))</f>
        <v>2</v>
      </c>
      <c r="AK75" s="77">
        <f>IF($F$9=TRUE,IF($C75="DUCTED",VLOOKUP($F75,'DX-Data'!$F$5:$J$11,4,TRUE),IF($C75="DECORATIVE",VLOOKUP($F75,'DX-Data'!$F$19:$J$23,4,TRUE),IF($C75="PACKAGED",VLOOKUP($F75,'DX-Data'!$F$24:$J$30,4,TRUE),IF($C75="DUCTED-INV",VLOOKUP($F75,'DX-Data'!$F$12:$J$18,4,TRUE),"CHOOSE AC TYPE")))),0)</f>
        <v>1</v>
      </c>
      <c r="AL75" s="77">
        <f>IF($G$9=TRUE,IF($C75="DUCTED",VLOOKUP($G75,'DX-Data'!$H$5:$J$11,2,TRUE),IF($C75="DECORATIVE",VLOOKUP($G75,'DX-Data'!$H$19:$J$23,2,TRUE),IF($C75="PACKAGED",VLOOKUP($G75,'DX-Data'!$H$24:$J$30,2,TRUE),IF($C75="DUCTED-INV",VLOOKUP($G75,'DX-Data'!$H$12:$J$18,2,TRUE),"CHOOSE AC TYPE")))),0)</f>
        <v>0</v>
      </c>
      <c r="AM75" s="77">
        <f t="shared" si="5"/>
        <v>2</v>
      </c>
      <c r="AN75" s="76" t="str">
        <f>IF(E75="","",VLOOKUP($AM75,'DX-Data'!$I$5:$J$31,2,FALSE))</f>
        <v>FDMRN25AVKU - RR25AVKU</v>
      </c>
      <c r="AO75" s="77">
        <f t="shared" si="6"/>
        <v>1</v>
      </c>
    </row>
    <row r="76" spans="2:41" x14ac:dyDescent="0.3">
      <c r="B76" s="71" t="s">
        <v>155</v>
      </c>
      <c r="C76" s="26" t="s">
        <v>38</v>
      </c>
      <c r="D76" s="27" t="s">
        <v>198</v>
      </c>
      <c r="E76" s="26">
        <v>4.8</v>
      </c>
      <c r="F76" s="26">
        <v>4.0999999999999996</v>
      </c>
      <c r="G76" s="82">
        <v>343</v>
      </c>
      <c r="H76" s="74" t="str">
        <f t="shared" si="7"/>
        <v>FDMRN25AVKU - RR25AVKU</v>
      </c>
      <c r="I76" s="2">
        <v>2</v>
      </c>
      <c r="J76" s="21">
        <f>IF($H76="","",VLOOKUP($H76,Data!$C$6:$Y$29,2,FALSE))</f>
        <v>2</v>
      </c>
      <c r="K76" s="2" t="str">
        <f>IF($H76="","",VLOOKUP($H76,Data!$C$6:$Y$29,3,FALSE))</f>
        <v>Non-Inverter</v>
      </c>
      <c r="L76" s="2" t="str">
        <f>IF($H76="","",VLOOKUP($H76,Data!$C$6:$Y$29,4,FALSE))</f>
        <v>R-410A</v>
      </c>
      <c r="M76" s="2" t="str">
        <f>IF($H76="","",VLOOKUP($H76,Data!$C$6:$Y$29,5,FALSE))</f>
        <v>24/16</v>
      </c>
      <c r="N76" s="2">
        <f>IF($H76="","",VLOOKUP($H76,Data!$C$6:$Y$29,6,FALSE))</f>
        <v>46</v>
      </c>
      <c r="O76" s="2">
        <f>IF($H76="","",VLOOKUP($H76,Data!$C$6:$Y$29,7,FALSE))</f>
        <v>5.48</v>
      </c>
      <c r="P76" s="2">
        <f>IF($H76="","",VLOOKUP($H76,Data!$C$6:$Y$29,8,FALSE))</f>
        <v>5.05</v>
      </c>
      <c r="Q76" s="2">
        <f>IF($H76="","",VLOOKUP($H76,Data!$C$6:$Y$29,9,FALSE))</f>
        <v>303</v>
      </c>
      <c r="R76" s="2" t="str">
        <f>IF($H76="","",VLOOKUP($H76,Data!$C$6:$Y$29,10,FALSE))</f>
        <v>MEDIUM</v>
      </c>
      <c r="S76" s="2">
        <f>IF($H76="","",VLOOKUP($H76,Data!$C$6:$Y$29,11,FALSE))</f>
        <v>2.29</v>
      </c>
      <c r="T76" s="2">
        <f>IF($H76="","",VLOOKUP($H76,Data!$C$6:$Y$29,12,FALSE))</f>
        <v>2.35</v>
      </c>
      <c r="U76" s="2">
        <f>IF($H76="","",VLOOKUP($H76,Data!$C$6:$Y$29,13,FALSE))</f>
        <v>3.44</v>
      </c>
      <c r="V76" s="2">
        <f>IF($H76="","",VLOOKUP($H76,Data!$C$6:$Y$29,14,FALSE))</f>
        <v>40</v>
      </c>
      <c r="W76" s="2" t="str">
        <f>IF($H76="","",VLOOKUP($H76,Data!$C$6:$Y$29,15,FALSE))</f>
        <v>220-240/1/50</v>
      </c>
      <c r="X76" s="2">
        <f>IF($H76="","",VLOOKUP($H76,Data!$C$6:$Y$29,16,FALSE))</f>
        <v>378</v>
      </c>
      <c r="Y76" s="2">
        <f>IF($H76="","",VLOOKUP($H76,Data!$C$6:$Y$29,17,FALSE))</f>
        <v>1115</v>
      </c>
      <c r="Z76" s="2">
        <f>IF($H76="","",VLOOKUP($H76,Data!$C$6:$Y$29,18,FALSE))</f>
        <v>541</v>
      </c>
      <c r="AA76" s="2">
        <f>IF($H76="","",VLOOKUP($H76,Data!$C$6:$Y$29,19,FALSE))</f>
        <v>753</v>
      </c>
      <c r="AB76" s="2">
        <f>IF($H76="","",VLOOKUP($H76,Data!$C$6:$Y$29,20,FALSE))</f>
        <v>855</v>
      </c>
      <c r="AC76" s="2">
        <f>IF($H76="","",VLOOKUP($H76,Data!$C$6:$Y$29,21,FALSE))</f>
        <v>328</v>
      </c>
      <c r="AD76" s="2">
        <f>IF($H76="","",VLOOKUP($H76,Data!$C$6:$Y$29,22,FALSE))</f>
        <v>44</v>
      </c>
      <c r="AE76" s="3">
        <f>IF($H76="","",VLOOKUP($H76,Data!$C$6:$Y$29,23,FALSE))</f>
        <v>51</v>
      </c>
      <c r="AG76" s="76" t="str">
        <f>IF($E76="","",IF($C76="DUCTED",VLOOKUP($E76,'DX-Data'!$D$5:$J$11,7,TRUE),IF($C76="DECORATIVE",VLOOKUP($E76,'DX-Data'!$D$19:$J$23,7,TRUE),IF($C76="PACKAGED",VLOOKUP($E76,'DX-Data'!$D$24:$J$30,7,TRUE),IF($C76="DUCTED-INV",VLOOKUP($E76,'DX-Data'!$D$12:$J$18,7,TRUE),"CHOOSE AC TYPE")))))</f>
        <v>FDMRN25AVKU - RR25AVKU</v>
      </c>
      <c r="AH76" s="76" t="str">
        <f>IF($F$9=TRUE,IF($C76="DUCTED",VLOOKUP($F76,'DX-Data'!$F$5:$J$11,5,TRUE),IF($C76="DECORATIVE",VLOOKUP($F76,'DX-Data'!$F$19:$J$23,5,TRUE),IF($C76="PACKAGED",VLOOKUP($F76,'DX-Data'!$F$24:$J$30,5,TRUE),IF($C76="DUCTED-INV",VLOOKUP($F76,'DX-Data'!$F$12:$J$18,5,TRUE),"CHOOSE AC TYPE")))),"NO SELECTION")</f>
        <v>FDMRN20AVKU - RR20AVKU</v>
      </c>
      <c r="AI76" s="76" t="str">
        <f>IF($G$9=TRUE,IF($C76="DUCTED",VLOOKUP($G76,'DX-Data'!$H$5:$J$11,3,TRUE),IF($C76="DECORATIVE",VLOOKUP($G76,'DX-Data'!$H$19:$J$23,3,TRUE),IF($C76="PACKAGED",VLOOKUP($G76,'DX-Data'!$H$24:$J$30,3,TRUE),IF($C76="DUCTED-INV",VLOOKUP($G76,'DX-Data'!$H$12:$J$18,3,TRUE),"CHOOSE AC TYPE")))),"NO SELECTION")</f>
        <v>NO SELECTION</v>
      </c>
      <c r="AJ76" s="77">
        <f>IF($E76="","",IF($C76="DUCTED",VLOOKUP($E76,'DX-Data'!$D$5:$J$11,6,TRUE),IF($C76="DECORATIVE",VLOOKUP($E76,'DX-Data'!$D$19:$J$23,6,TRUE),IF($C76="PACKAGED",VLOOKUP($E76,'DX-Data'!$D$24:$J$30,6,TRUE),IF($C76="DUCTED-INV",VLOOKUP($E76,'DX-Data'!$D$12:$J$18,6,TRUE),0)))))</f>
        <v>2</v>
      </c>
      <c r="AK76" s="77">
        <f>IF($F$9=TRUE,IF($C76="DUCTED",VLOOKUP($F76,'DX-Data'!$F$5:$J$11,4,TRUE),IF($C76="DECORATIVE",VLOOKUP($F76,'DX-Data'!$F$19:$J$23,4,TRUE),IF($C76="PACKAGED",VLOOKUP($F76,'DX-Data'!$F$24:$J$30,4,TRUE),IF($C76="DUCTED-INV",VLOOKUP($F76,'DX-Data'!$F$12:$J$18,4,TRUE),"CHOOSE AC TYPE")))),0)</f>
        <v>1</v>
      </c>
      <c r="AL76" s="77">
        <f>IF($G$9=TRUE,IF($C76="DUCTED",VLOOKUP($G76,'DX-Data'!$H$5:$J$11,2,TRUE),IF($C76="DECORATIVE",VLOOKUP($G76,'DX-Data'!$H$19:$J$23,2,TRUE),IF($C76="PACKAGED",VLOOKUP($G76,'DX-Data'!$H$24:$J$30,2,TRUE),IF($C76="DUCTED-INV",VLOOKUP($G76,'DX-Data'!$H$12:$J$18,2,TRUE),"CHOOSE AC TYPE")))),0)</f>
        <v>0</v>
      </c>
      <c r="AM76" s="77">
        <f t="shared" si="5"/>
        <v>2</v>
      </c>
      <c r="AN76" s="76" t="str">
        <f>IF(E76="","",VLOOKUP($AM76,'DX-Data'!$I$5:$J$31,2,FALSE))</f>
        <v>FDMRN25AVKU - RR25AVKU</v>
      </c>
      <c r="AO76" s="77">
        <f t="shared" si="6"/>
        <v>1</v>
      </c>
    </row>
    <row r="77" spans="2:41" x14ac:dyDescent="0.3">
      <c r="B77" s="71" t="s">
        <v>156</v>
      </c>
      <c r="C77" s="26" t="s">
        <v>38</v>
      </c>
      <c r="D77" s="27" t="s">
        <v>199</v>
      </c>
      <c r="E77" s="26">
        <v>4.8</v>
      </c>
      <c r="F77" s="26">
        <v>4.0999999999999996</v>
      </c>
      <c r="G77" s="82">
        <v>343</v>
      </c>
      <c r="H77" s="74" t="str">
        <f t="shared" si="7"/>
        <v>FDMRN25AVKU - RR25AVKU</v>
      </c>
      <c r="I77" s="2">
        <v>2</v>
      </c>
      <c r="J77" s="21">
        <f>IF($H77="","",VLOOKUP($H77,Data!$C$6:$Y$29,2,FALSE))</f>
        <v>2</v>
      </c>
      <c r="K77" s="2" t="str">
        <f>IF($H77="","",VLOOKUP($H77,Data!$C$6:$Y$29,3,FALSE))</f>
        <v>Non-Inverter</v>
      </c>
      <c r="L77" s="2" t="str">
        <f>IF($H77="","",VLOOKUP($H77,Data!$C$6:$Y$29,4,FALSE))</f>
        <v>R-410A</v>
      </c>
      <c r="M77" s="2" t="str">
        <f>IF($H77="","",VLOOKUP($H77,Data!$C$6:$Y$29,5,FALSE))</f>
        <v>24/16</v>
      </c>
      <c r="N77" s="2">
        <f>IF($H77="","",VLOOKUP($H77,Data!$C$6:$Y$29,6,FALSE))</f>
        <v>46</v>
      </c>
      <c r="O77" s="2">
        <f>IF($H77="","",VLOOKUP($H77,Data!$C$6:$Y$29,7,FALSE))</f>
        <v>5.48</v>
      </c>
      <c r="P77" s="2">
        <f>IF($H77="","",VLOOKUP($H77,Data!$C$6:$Y$29,8,FALSE))</f>
        <v>5.05</v>
      </c>
      <c r="Q77" s="2">
        <f>IF($H77="","",VLOOKUP($H77,Data!$C$6:$Y$29,9,FALSE))</f>
        <v>303</v>
      </c>
      <c r="R77" s="2" t="str">
        <f>IF($H77="","",VLOOKUP($H77,Data!$C$6:$Y$29,10,FALSE))</f>
        <v>MEDIUM</v>
      </c>
      <c r="S77" s="2">
        <f>IF($H77="","",VLOOKUP($H77,Data!$C$6:$Y$29,11,FALSE))</f>
        <v>2.29</v>
      </c>
      <c r="T77" s="2">
        <f>IF($H77="","",VLOOKUP($H77,Data!$C$6:$Y$29,12,FALSE))</f>
        <v>2.35</v>
      </c>
      <c r="U77" s="2">
        <f>IF($H77="","",VLOOKUP($H77,Data!$C$6:$Y$29,13,FALSE))</f>
        <v>3.44</v>
      </c>
      <c r="V77" s="2">
        <f>IF($H77="","",VLOOKUP($H77,Data!$C$6:$Y$29,14,FALSE))</f>
        <v>40</v>
      </c>
      <c r="W77" s="2" t="str">
        <f>IF($H77="","",VLOOKUP($H77,Data!$C$6:$Y$29,15,FALSE))</f>
        <v>220-240/1/50</v>
      </c>
      <c r="X77" s="2">
        <f>IF($H77="","",VLOOKUP($H77,Data!$C$6:$Y$29,16,FALSE))</f>
        <v>378</v>
      </c>
      <c r="Y77" s="2">
        <f>IF($H77="","",VLOOKUP($H77,Data!$C$6:$Y$29,17,FALSE))</f>
        <v>1115</v>
      </c>
      <c r="Z77" s="2">
        <f>IF($H77="","",VLOOKUP($H77,Data!$C$6:$Y$29,18,FALSE))</f>
        <v>541</v>
      </c>
      <c r="AA77" s="2">
        <f>IF($H77="","",VLOOKUP($H77,Data!$C$6:$Y$29,19,FALSE))</f>
        <v>753</v>
      </c>
      <c r="AB77" s="2">
        <f>IF($H77="","",VLOOKUP($H77,Data!$C$6:$Y$29,20,FALSE))</f>
        <v>855</v>
      </c>
      <c r="AC77" s="2">
        <f>IF($H77="","",VLOOKUP($H77,Data!$C$6:$Y$29,21,FALSE))</f>
        <v>328</v>
      </c>
      <c r="AD77" s="2">
        <f>IF($H77="","",VLOOKUP($H77,Data!$C$6:$Y$29,22,FALSE))</f>
        <v>44</v>
      </c>
      <c r="AE77" s="3">
        <f>IF($H77="","",VLOOKUP($H77,Data!$C$6:$Y$29,23,FALSE))</f>
        <v>51</v>
      </c>
      <c r="AG77" s="76" t="str">
        <f>IF($E77="","",IF($C77="DUCTED",VLOOKUP($E77,'DX-Data'!$D$5:$J$11,7,TRUE),IF($C77="DECORATIVE",VLOOKUP($E77,'DX-Data'!$D$19:$J$23,7,TRUE),IF($C77="PACKAGED",VLOOKUP($E77,'DX-Data'!$D$24:$J$30,7,TRUE),IF($C77="DUCTED-INV",VLOOKUP($E77,'DX-Data'!$D$12:$J$18,7,TRUE),"CHOOSE AC TYPE")))))</f>
        <v>FDMRN25AVKU - RR25AVKU</v>
      </c>
      <c r="AH77" s="76" t="str">
        <f>IF($F$9=TRUE,IF($C77="DUCTED",VLOOKUP($F77,'DX-Data'!$F$5:$J$11,5,TRUE),IF($C77="DECORATIVE",VLOOKUP($F77,'DX-Data'!$F$19:$J$23,5,TRUE),IF($C77="PACKAGED",VLOOKUP($F77,'DX-Data'!$F$24:$J$30,5,TRUE),IF($C77="DUCTED-INV",VLOOKUP($F77,'DX-Data'!$F$12:$J$18,5,TRUE),"CHOOSE AC TYPE")))),"NO SELECTION")</f>
        <v>FDMRN20AVKU - RR20AVKU</v>
      </c>
      <c r="AI77" s="76" t="str">
        <f>IF($G$9=TRUE,IF($C77="DUCTED",VLOOKUP($G77,'DX-Data'!$H$5:$J$11,3,TRUE),IF($C77="DECORATIVE",VLOOKUP($G77,'DX-Data'!$H$19:$J$23,3,TRUE),IF($C77="PACKAGED",VLOOKUP($G77,'DX-Data'!$H$24:$J$30,3,TRUE),IF($C77="DUCTED-INV",VLOOKUP($G77,'DX-Data'!$H$12:$J$18,3,TRUE),"CHOOSE AC TYPE")))),"NO SELECTION")</f>
        <v>NO SELECTION</v>
      </c>
      <c r="AJ77" s="77">
        <f>IF($E77="","",IF($C77="DUCTED",VLOOKUP($E77,'DX-Data'!$D$5:$J$11,6,TRUE),IF($C77="DECORATIVE",VLOOKUP($E77,'DX-Data'!$D$19:$J$23,6,TRUE),IF($C77="PACKAGED",VLOOKUP($E77,'DX-Data'!$D$24:$J$30,6,TRUE),IF($C77="DUCTED-INV",VLOOKUP($E77,'DX-Data'!$D$12:$J$18,6,TRUE),0)))))</f>
        <v>2</v>
      </c>
      <c r="AK77" s="77">
        <f>IF($F$9=TRUE,IF($C77="DUCTED",VLOOKUP($F77,'DX-Data'!$F$5:$J$11,4,TRUE),IF($C77="DECORATIVE",VLOOKUP($F77,'DX-Data'!$F$19:$J$23,4,TRUE),IF($C77="PACKAGED",VLOOKUP($F77,'DX-Data'!$F$24:$J$30,4,TRUE),IF($C77="DUCTED-INV",VLOOKUP($F77,'DX-Data'!$F$12:$J$18,4,TRUE),"CHOOSE AC TYPE")))),0)</f>
        <v>1</v>
      </c>
      <c r="AL77" s="77">
        <f>IF($G$9=TRUE,IF($C77="DUCTED",VLOOKUP($G77,'DX-Data'!$H$5:$J$11,2,TRUE),IF($C77="DECORATIVE",VLOOKUP($G77,'DX-Data'!$H$19:$J$23,2,TRUE),IF($C77="PACKAGED",VLOOKUP($G77,'DX-Data'!$H$24:$J$30,2,TRUE),IF($C77="DUCTED-INV",VLOOKUP($G77,'DX-Data'!$H$12:$J$18,2,TRUE),"CHOOSE AC TYPE")))),0)</f>
        <v>0</v>
      </c>
      <c r="AM77" s="77">
        <f t="shared" si="5"/>
        <v>2</v>
      </c>
      <c r="AN77" s="76" t="str">
        <f>IF(E77="","",VLOOKUP($AM77,'DX-Data'!$I$5:$J$31,2,FALSE))</f>
        <v>FDMRN25AVKU - RR25AVKU</v>
      </c>
      <c r="AO77" s="77">
        <f t="shared" si="6"/>
        <v>1</v>
      </c>
    </row>
    <row r="78" spans="2:41" x14ac:dyDescent="0.3">
      <c r="B78" s="71" t="s">
        <v>157</v>
      </c>
      <c r="C78" s="26" t="s">
        <v>38</v>
      </c>
      <c r="D78" s="27" t="s">
        <v>200</v>
      </c>
      <c r="E78" s="26">
        <v>4.8</v>
      </c>
      <c r="F78" s="26">
        <v>4.0999999999999996</v>
      </c>
      <c r="G78" s="82">
        <v>343</v>
      </c>
      <c r="H78" s="74" t="str">
        <f t="shared" si="7"/>
        <v>FDMRN25AVKU - RR25AVKU</v>
      </c>
      <c r="I78" s="2">
        <v>2</v>
      </c>
      <c r="J78" s="21">
        <f>IF($H78="","",VLOOKUP($H78,Data!$C$6:$Y$29,2,FALSE))</f>
        <v>2</v>
      </c>
      <c r="K78" s="2" t="str">
        <f>IF($H78="","",VLOOKUP($H78,Data!$C$6:$Y$29,3,FALSE))</f>
        <v>Non-Inverter</v>
      </c>
      <c r="L78" s="2" t="str">
        <f>IF($H78="","",VLOOKUP($H78,Data!$C$6:$Y$29,4,FALSE))</f>
        <v>R-410A</v>
      </c>
      <c r="M78" s="2" t="str">
        <f>IF($H78="","",VLOOKUP($H78,Data!$C$6:$Y$29,5,FALSE))</f>
        <v>24/16</v>
      </c>
      <c r="N78" s="2">
        <f>IF($H78="","",VLOOKUP($H78,Data!$C$6:$Y$29,6,FALSE))</f>
        <v>46</v>
      </c>
      <c r="O78" s="2">
        <f>IF($H78="","",VLOOKUP($H78,Data!$C$6:$Y$29,7,FALSE))</f>
        <v>5.48</v>
      </c>
      <c r="P78" s="2">
        <f>IF($H78="","",VLOOKUP($H78,Data!$C$6:$Y$29,8,FALSE))</f>
        <v>5.05</v>
      </c>
      <c r="Q78" s="2">
        <f>IF($H78="","",VLOOKUP($H78,Data!$C$6:$Y$29,9,FALSE))</f>
        <v>303</v>
      </c>
      <c r="R78" s="2" t="str">
        <f>IF($H78="","",VLOOKUP($H78,Data!$C$6:$Y$29,10,FALSE))</f>
        <v>MEDIUM</v>
      </c>
      <c r="S78" s="2">
        <f>IF($H78="","",VLOOKUP($H78,Data!$C$6:$Y$29,11,FALSE))</f>
        <v>2.29</v>
      </c>
      <c r="T78" s="2">
        <f>IF($H78="","",VLOOKUP($H78,Data!$C$6:$Y$29,12,FALSE))</f>
        <v>2.35</v>
      </c>
      <c r="U78" s="2">
        <f>IF($H78="","",VLOOKUP($H78,Data!$C$6:$Y$29,13,FALSE))</f>
        <v>3.44</v>
      </c>
      <c r="V78" s="2">
        <f>IF($H78="","",VLOOKUP($H78,Data!$C$6:$Y$29,14,FALSE))</f>
        <v>40</v>
      </c>
      <c r="W78" s="2" t="str">
        <f>IF($H78="","",VLOOKUP($H78,Data!$C$6:$Y$29,15,FALSE))</f>
        <v>220-240/1/50</v>
      </c>
      <c r="X78" s="2">
        <f>IF($H78="","",VLOOKUP($H78,Data!$C$6:$Y$29,16,FALSE))</f>
        <v>378</v>
      </c>
      <c r="Y78" s="2">
        <f>IF($H78="","",VLOOKUP($H78,Data!$C$6:$Y$29,17,FALSE))</f>
        <v>1115</v>
      </c>
      <c r="Z78" s="2">
        <f>IF($H78="","",VLOOKUP($H78,Data!$C$6:$Y$29,18,FALSE))</f>
        <v>541</v>
      </c>
      <c r="AA78" s="2">
        <f>IF($H78="","",VLOOKUP($H78,Data!$C$6:$Y$29,19,FALSE))</f>
        <v>753</v>
      </c>
      <c r="AB78" s="2">
        <f>IF($H78="","",VLOOKUP($H78,Data!$C$6:$Y$29,20,FALSE))</f>
        <v>855</v>
      </c>
      <c r="AC78" s="2">
        <f>IF($H78="","",VLOOKUP($H78,Data!$C$6:$Y$29,21,FALSE))</f>
        <v>328</v>
      </c>
      <c r="AD78" s="2">
        <f>IF($H78="","",VLOOKUP($H78,Data!$C$6:$Y$29,22,FALSE))</f>
        <v>44</v>
      </c>
      <c r="AE78" s="3">
        <f>IF($H78="","",VLOOKUP($H78,Data!$C$6:$Y$29,23,FALSE))</f>
        <v>51</v>
      </c>
      <c r="AG78" s="76" t="str">
        <f>IF($E78="","",IF($C78="DUCTED",VLOOKUP($E78,'DX-Data'!$D$5:$J$11,7,TRUE),IF($C78="DECORATIVE",VLOOKUP($E78,'DX-Data'!$D$19:$J$23,7,TRUE),IF($C78="PACKAGED",VLOOKUP($E78,'DX-Data'!$D$24:$J$30,7,TRUE),IF($C78="DUCTED-INV",VLOOKUP($E78,'DX-Data'!$D$12:$J$18,7,TRUE),"CHOOSE AC TYPE")))))</f>
        <v>FDMRN25AVKU - RR25AVKU</v>
      </c>
      <c r="AH78" s="76" t="str">
        <f>IF($F$9=TRUE,IF($C78="DUCTED",VLOOKUP($F78,'DX-Data'!$F$5:$J$11,5,TRUE),IF($C78="DECORATIVE",VLOOKUP($F78,'DX-Data'!$F$19:$J$23,5,TRUE),IF($C78="PACKAGED",VLOOKUP($F78,'DX-Data'!$F$24:$J$30,5,TRUE),IF($C78="DUCTED-INV",VLOOKUP($F78,'DX-Data'!$F$12:$J$18,5,TRUE),"CHOOSE AC TYPE")))),"NO SELECTION")</f>
        <v>FDMRN20AVKU - RR20AVKU</v>
      </c>
      <c r="AI78" s="76" t="str">
        <f>IF($G$9=TRUE,IF($C78="DUCTED",VLOOKUP($G78,'DX-Data'!$H$5:$J$11,3,TRUE),IF($C78="DECORATIVE",VLOOKUP($G78,'DX-Data'!$H$19:$J$23,3,TRUE),IF($C78="PACKAGED",VLOOKUP($G78,'DX-Data'!$H$24:$J$30,3,TRUE),IF($C78="DUCTED-INV",VLOOKUP($G78,'DX-Data'!$H$12:$J$18,3,TRUE),"CHOOSE AC TYPE")))),"NO SELECTION")</f>
        <v>NO SELECTION</v>
      </c>
      <c r="AJ78" s="77">
        <f>IF($E78="","",IF($C78="DUCTED",VLOOKUP($E78,'DX-Data'!$D$5:$J$11,6,TRUE),IF($C78="DECORATIVE",VLOOKUP($E78,'DX-Data'!$D$19:$J$23,6,TRUE),IF($C78="PACKAGED",VLOOKUP($E78,'DX-Data'!$D$24:$J$30,6,TRUE),IF($C78="DUCTED-INV",VLOOKUP($E78,'DX-Data'!$D$12:$J$18,6,TRUE),0)))))</f>
        <v>2</v>
      </c>
      <c r="AK78" s="77">
        <f>IF($F$9=TRUE,IF($C78="DUCTED",VLOOKUP($F78,'DX-Data'!$F$5:$J$11,4,TRUE),IF($C78="DECORATIVE",VLOOKUP($F78,'DX-Data'!$F$19:$J$23,4,TRUE),IF($C78="PACKAGED",VLOOKUP($F78,'DX-Data'!$F$24:$J$30,4,TRUE),IF($C78="DUCTED-INV",VLOOKUP($F78,'DX-Data'!$F$12:$J$18,4,TRUE),"CHOOSE AC TYPE")))),0)</f>
        <v>1</v>
      </c>
      <c r="AL78" s="77">
        <f>IF($G$9=TRUE,IF($C78="DUCTED",VLOOKUP($G78,'DX-Data'!$H$5:$J$11,2,TRUE),IF($C78="DECORATIVE",VLOOKUP($G78,'DX-Data'!$H$19:$J$23,2,TRUE),IF($C78="PACKAGED",VLOOKUP($G78,'DX-Data'!$H$24:$J$30,2,TRUE),IF($C78="DUCTED-INV",VLOOKUP($G78,'DX-Data'!$H$12:$J$18,2,TRUE),"CHOOSE AC TYPE")))),0)</f>
        <v>0</v>
      </c>
      <c r="AM78" s="77">
        <f t="shared" si="5"/>
        <v>2</v>
      </c>
      <c r="AN78" s="76" t="str">
        <f>IF(E78="","",VLOOKUP($AM78,'DX-Data'!$I$5:$J$31,2,FALSE))</f>
        <v>FDMRN25AVKU - RR25AVKU</v>
      </c>
      <c r="AO78" s="77">
        <f t="shared" si="6"/>
        <v>1</v>
      </c>
    </row>
    <row r="79" spans="2:41" x14ac:dyDescent="0.3">
      <c r="B79" s="71" t="s">
        <v>158</v>
      </c>
      <c r="C79" s="26" t="s">
        <v>38</v>
      </c>
      <c r="D79" s="27" t="s">
        <v>201</v>
      </c>
      <c r="E79" s="26">
        <v>4.8</v>
      </c>
      <c r="F79" s="26">
        <v>4.0999999999999996</v>
      </c>
      <c r="G79" s="82">
        <v>343</v>
      </c>
      <c r="H79" s="74" t="str">
        <f t="shared" si="7"/>
        <v>FDMRN25AVKU - RR25AVKU</v>
      </c>
      <c r="I79" s="2">
        <v>2</v>
      </c>
      <c r="J79" s="21">
        <f>IF($H79="","",VLOOKUP($H79,Data!$C$6:$Y$29,2,FALSE))</f>
        <v>2</v>
      </c>
      <c r="K79" s="2" t="str">
        <f>IF($H79="","",VLOOKUP($H79,Data!$C$6:$Y$29,3,FALSE))</f>
        <v>Non-Inverter</v>
      </c>
      <c r="L79" s="2" t="str">
        <f>IF($H79="","",VLOOKUP($H79,Data!$C$6:$Y$29,4,FALSE))</f>
        <v>R-410A</v>
      </c>
      <c r="M79" s="2" t="str">
        <f>IF($H79="","",VLOOKUP($H79,Data!$C$6:$Y$29,5,FALSE))</f>
        <v>24/16</v>
      </c>
      <c r="N79" s="2">
        <f>IF($H79="","",VLOOKUP($H79,Data!$C$6:$Y$29,6,FALSE))</f>
        <v>46</v>
      </c>
      <c r="O79" s="2">
        <f>IF($H79="","",VLOOKUP($H79,Data!$C$6:$Y$29,7,FALSE))</f>
        <v>5.48</v>
      </c>
      <c r="P79" s="2">
        <f>IF($H79="","",VLOOKUP($H79,Data!$C$6:$Y$29,8,FALSE))</f>
        <v>5.05</v>
      </c>
      <c r="Q79" s="2">
        <f>IF($H79="","",VLOOKUP($H79,Data!$C$6:$Y$29,9,FALSE))</f>
        <v>303</v>
      </c>
      <c r="R79" s="2" t="str">
        <f>IF($H79="","",VLOOKUP($H79,Data!$C$6:$Y$29,10,FALSE))</f>
        <v>MEDIUM</v>
      </c>
      <c r="S79" s="2">
        <f>IF($H79="","",VLOOKUP($H79,Data!$C$6:$Y$29,11,FALSE))</f>
        <v>2.29</v>
      </c>
      <c r="T79" s="2">
        <f>IF($H79="","",VLOOKUP($H79,Data!$C$6:$Y$29,12,FALSE))</f>
        <v>2.35</v>
      </c>
      <c r="U79" s="2">
        <f>IF($H79="","",VLOOKUP($H79,Data!$C$6:$Y$29,13,FALSE))</f>
        <v>3.44</v>
      </c>
      <c r="V79" s="2">
        <f>IF($H79="","",VLOOKUP($H79,Data!$C$6:$Y$29,14,FALSE))</f>
        <v>40</v>
      </c>
      <c r="W79" s="2" t="str">
        <f>IF($H79="","",VLOOKUP($H79,Data!$C$6:$Y$29,15,FALSE))</f>
        <v>220-240/1/50</v>
      </c>
      <c r="X79" s="2">
        <f>IF($H79="","",VLOOKUP($H79,Data!$C$6:$Y$29,16,FALSE))</f>
        <v>378</v>
      </c>
      <c r="Y79" s="2">
        <f>IF($H79="","",VLOOKUP($H79,Data!$C$6:$Y$29,17,FALSE))</f>
        <v>1115</v>
      </c>
      <c r="Z79" s="2">
        <f>IF($H79="","",VLOOKUP($H79,Data!$C$6:$Y$29,18,FALSE))</f>
        <v>541</v>
      </c>
      <c r="AA79" s="2">
        <f>IF($H79="","",VLOOKUP($H79,Data!$C$6:$Y$29,19,FALSE))</f>
        <v>753</v>
      </c>
      <c r="AB79" s="2">
        <f>IF($H79="","",VLOOKUP($H79,Data!$C$6:$Y$29,20,FALSE))</f>
        <v>855</v>
      </c>
      <c r="AC79" s="2">
        <f>IF($H79="","",VLOOKUP($H79,Data!$C$6:$Y$29,21,FALSE))</f>
        <v>328</v>
      </c>
      <c r="AD79" s="2">
        <f>IF($H79="","",VLOOKUP($H79,Data!$C$6:$Y$29,22,FALSE))</f>
        <v>44</v>
      </c>
      <c r="AE79" s="3">
        <f>IF($H79="","",VLOOKUP($H79,Data!$C$6:$Y$29,23,FALSE))</f>
        <v>51</v>
      </c>
      <c r="AG79" s="76" t="str">
        <f>IF($E79="","",IF($C79="DUCTED",VLOOKUP($E79,'DX-Data'!$D$5:$J$11,7,TRUE),IF($C79="DECORATIVE",VLOOKUP($E79,'DX-Data'!$D$19:$J$23,7,TRUE),IF($C79="PACKAGED",VLOOKUP($E79,'DX-Data'!$D$24:$J$30,7,TRUE),IF($C79="DUCTED-INV",VLOOKUP($E79,'DX-Data'!$D$12:$J$18,7,TRUE),"CHOOSE AC TYPE")))))</f>
        <v>FDMRN25AVKU - RR25AVKU</v>
      </c>
      <c r="AH79" s="76" t="str">
        <f>IF($F$9=TRUE,IF($C79="DUCTED",VLOOKUP($F79,'DX-Data'!$F$5:$J$11,5,TRUE),IF($C79="DECORATIVE",VLOOKUP($F79,'DX-Data'!$F$19:$J$23,5,TRUE),IF($C79="PACKAGED",VLOOKUP($F79,'DX-Data'!$F$24:$J$30,5,TRUE),IF($C79="DUCTED-INV",VLOOKUP($F79,'DX-Data'!$F$12:$J$18,5,TRUE),"CHOOSE AC TYPE")))),"NO SELECTION")</f>
        <v>FDMRN20AVKU - RR20AVKU</v>
      </c>
      <c r="AI79" s="76" t="str">
        <f>IF($G$9=TRUE,IF($C79="DUCTED",VLOOKUP($G79,'DX-Data'!$H$5:$J$11,3,TRUE),IF($C79="DECORATIVE",VLOOKUP($G79,'DX-Data'!$H$19:$J$23,3,TRUE),IF($C79="PACKAGED",VLOOKUP($G79,'DX-Data'!$H$24:$J$30,3,TRUE),IF($C79="DUCTED-INV",VLOOKUP($G79,'DX-Data'!$H$12:$J$18,3,TRUE),"CHOOSE AC TYPE")))),"NO SELECTION")</f>
        <v>NO SELECTION</v>
      </c>
      <c r="AJ79" s="77">
        <f>IF($E79="","",IF($C79="DUCTED",VLOOKUP($E79,'DX-Data'!$D$5:$J$11,6,TRUE),IF($C79="DECORATIVE",VLOOKUP($E79,'DX-Data'!$D$19:$J$23,6,TRUE),IF($C79="PACKAGED",VLOOKUP($E79,'DX-Data'!$D$24:$J$30,6,TRUE),IF($C79="DUCTED-INV",VLOOKUP($E79,'DX-Data'!$D$12:$J$18,6,TRUE),0)))))</f>
        <v>2</v>
      </c>
      <c r="AK79" s="77">
        <f>IF($F$9=TRUE,IF($C79="DUCTED",VLOOKUP($F79,'DX-Data'!$F$5:$J$11,4,TRUE),IF($C79="DECORATIVE",VLOOKUP($F79,'DX-Data'!$F$19:$J$23,4,TRUE),IF($C79="PACKAGED",VLOOKUP($F79,'DX-Data'!$F$24:$J$30,4,TRUE),IF($C79="DUCTED-INV",VLOOKUP($F79,'DX-Data'!$F$12:$J$18,4,TRUE),"CHOOSE AC TYPE")))),0)</f>
        <v>1</v>
      </c>
      <c r="AL79" s="77">
        <f>IF($G$9=TRUE,IF($C79="DUCTED",VLOOKUP($G79,'DX-Data'!$H$5:$J$11,2,TRUE),IF($C79="DECORATIVE",VLOOKUP($G79,'DX-Data'!$H$19:$J$23,2,TRUE),IF($C79="PACKAGED",VLOOKUP($G79,'DX-Data'!$H$24:$J$30,2,TRUE),IF($C79="DUCTED-INV",VLOOKUP($G79,'DX-Data'!$H$12:$J$18,2,TRUE),"CHOOSE AC TYPE")))),0)</f>
        <v>0</v>
      </c>
      <c r="AM79" s="77">
        <f t="shared" si="5"/>
        <v>2</v>
      </c>
      <c r="AN79" s="76" t="str">
        <f>IF(E79="","",VLOOKUP($AM79,'DX-Data'!$I$5:$J$31,2,FALSE))</f>
        <v>FDMRN25AVKU - RR25AVKU</v>
      </c>
      <c r="AO79" s="77">
        <f t="shared" si="6"/>
        <v>1</v>
      </c>
    </row>
    <row r="80" spans="2:41" x14ac:dyDescent="0.3">
      <c r="B80" s="71" t="s">
        <v>159</v>
      </c>
      <c r="C80" s="26" t="s">
        <v>38</v>
      </c>
      <c r="D80" s="27" t="s">
        <v>202</v>
      </c>
      <c r="E80" s="26">
        <v>4.8</v>
      </c>
      <c r="F80" s="26">
        <v>4.0999999999999996</v>
      </c>
      <c r="G80" s="82">
        <v>343</v>
      </c>
      <c r="H80" s="74" t="str">
        <f t="shared" si="7"/>
        <v>FDMRN25AVKU - RR25AVKU</v>
      </c>
      <c r="I80" s="2">
        <v>2</v>
      </c>
      <c r="J80" s="21">
        <f>IF($H80="","",VLOOKUP($H80,Data!$C$6:$Y$29,2,FALSE))</f>
        <v>2</v>
      </c>
      <c r="K80" s="2" t="str">
        <f>IF($H80="","",VLOOKUP($H80,Data!$C$6:$Y$29,3,FALSE))</f>
        <v>Non-Inverter</v>
      </c>
      <c r="L80" s="2" t="str">
        <f>IF($H80="","",VLOOKUP($H80,Data!$C$6:$Y$29,4,FALSE))</f>
        <v>R-410A</v>
      </c>
      <c r="M80" s="2" t="str">
        <f>IF($H80="","",VLOOKUP($H80,Data!$C$6:$Y$29,5,FALSE))</f>
        <v>24/16</v>
      </c>
      <c r="N80" s="2">
        <f>IF($H80="","",VLOOKUP($H80,Data!$C$6:$Y$29,6,FALSE))</f>
        <v>46</v>
      </c>
      <c r="O80" s="2">
        <f>IF($H80="","",VLOOKUP($H80,Data!$C$6:$Y$29,7,FALSE))</f>
        <v>5.48</v>
      </c>
      <c r="P80" s="2">
        <f>IF($H80="","",VLOOKUP($H80,Data!$C$6:$Y$29,8,FALSE))</f>
        <v>5.05</v>
      </c>
      <c r="Q80" s="2">
        <f>IF($H80="","",VLOOKUP($H80,Data!$C$6:$Y$29,9,FALSE))</f>
        <v>303</v>
      </c>
      <c r="R80" s="2" t="str">
        <f>IF($H80="","",VLOOKUP($H80,Data!$C$6:$Y$29,10,FALSE))</f>
        <v>MEDIUM</v>
      </c>
      <c r="S80" s="2">
        <f>IF($H80="","",VLOOKUP($H80,Data!$C$6:$Y$29,11,FALSE))</f>
        <v>2.29</v>
      </c>
      <c r="T80" s="2">
        <f>IF($H80="","",VLOOKUP($H80,Data!$C$6:$Y$29,12,FALSE))</f>
        <v>2.35</v>
      </c>
      <c r="U80" s="2">
        <f>IF($H80="","",VLOOKUP($H80,Data!$C$6:$Y$29,13,FALSE))</f>
        <v>3.44</v>
      </c>
      <c r="V80" s="2">
        <f>IF($H80="","",VLOOKUP($H80,Data!$C$6:$Y$29,14,FALSE))</f>
        <v>40</v>
      </c>
      <c r="W80" s="2" t="str">
        <f>IF($H80="","",VLOOKUP($H80,Data!$C$6:$Y$29,15,FALSE))</f>
        <v>220-240/1/50</v>
      </c>
      <c r="X80" s="2">
        <f>IF($H80="","",VLOOKUP($H80,Data!$C$6:$Y$29,16,FALSE))</f>
        <v>378</v>
      </c>
      <c r="Y80" s="2">
        <f>IF($H80="","",VLOOKUP($H80,Data!$C$6:$Y$29,17,FALSE))</f>
        <v>1115</v>
      </c>
      <c r="Z80" s="2">
        <f>IF($H80="","",VLOOKUP($H80,Data!$C$6:$Y$29,18,FALSE))</f>
        <v>541</v>
      </c>
      <c r="AA80" s="2">
        <f>IF($H80="","",VLOOKUP($H80,Data!$C$6:$Y$29,19,FALSE))</f>
        <v>753</v>
      </c>
      <c r="AB80" s="2">
        <f>IF($H80="","",VLOOKUP($H80,Data!$C$6:$Y$29,20,FALSE))</f>
        <v>855</v>
      </c>
      <c r="AC80" s="2">
        <f>IF($H80="","",VLOOKUP($H80,Data!$C$6:$Y$29,21,FALSE))</f>
        <v>328</v>
      </c>
      <c r="AD80" s="2">
        <f>IF($H80="","",VLOOKUP($H80,Data!$C$6:$Y$29,22,FALSE))</f>
        <v>44</v>
      </c>
      <c r="AE80" s="3">
        <f>IF($H80="","",VLOOKUP($H80,Data!$C$6:$Y$29,23,FALSE))</f>
        <v>51</v>
      </c>
      <c r="AG80" s="76" t="str">
        <f>IF($E80="","",IF($C80="DUCTED",VLOOKUP($E80,'DX-Data'!$D$5:$J$11,7,TRUE),IF($C80="DECORATIVE",VLOOKUP($E80,'DX-Data'!$D$19:$J$23,7,TRUE),IF($C80="PACKAGED",VLOOKUP($E80,'DX-Data'!$D$24:$J$30,7,TRUE),IF($C80="DUCTED-INV",VLOOKUP($E80,'DX-Data'!$D$12:$J$18,7,TRUE),"CHOOSE AC TYPE")))))</f>
        <v>FDMRN25AVKU - RR25AVKU</v>
      </c>
      <c r="AH80" s="76" t="str">
        <f>IF($F$9=TRUE,IF($C80="DUCTED",VLOOKUP($F80,'DX-Data'!$F$5:$J$11,5,TRUE),IF($C80="DECORATIVE",VLOOKUP($F80,'DX-Data'!$F$19:$J$23,5,TRUE),IF($C80="PACKAGED",VLOOKUP($F80,'DX-Data'!$F$24:$J$30,5,TRUE),IF($C80="DUCTED-INV",VLOOKUP($F80,'DX-Data'!$F$12:$J$18,5,TRUE),"CHOOSE AC TYPE")))),"NO SELECTION")</f>
        <v>FDMRN20AVKU - RR20AVKU</v>
      </c>
      <c r="AI80" s="76" t="str">
        <f>IF($G$9=TRUE,IF($C80="DUCTED",VLOOKUP($G80,'DX-Data'!$H$5:$J$11,3,TRUE),IF($C80="DECORATIVE",VLOOKUP($G80,'DX-Data'!$H$19:$J$23,3,TRUE),IF($C80="PACKAGED",VLOOKUP($G80,'DX-Data'!$H$24:$J$30,3,TRUE),IF($C80="DUCTED-INV",VLOOKUP($G80,'DX-Data'!$H$12:$J$18,3,TRUE),"CHOOSE AC TYPE")))),"NO SELECTION")</f>
        <v>NO SELECTION</v>
      </c>
      <c r="AJ80" s="77">
        <f>IF($E80="","",IF($C80="DUCTED",VLOOKUP($E80,'DX-Data'!$D$5:$J$11,6,TRUE),IF($C80="DECORATIVE",VLOOKUP($E80,'DX-Data'!$D$19:$J$23,6,TRUE),IF($C80="PACKAGED",VLOOKUP($E80,'DX-Data'!$D$24:$J$30,6,TRUE),IF($C80="DUCTED-INV",VLOOKUP($E80,'DX-Data'!$D$12:$J$18,6,TRUE),0)))))</f>
        <v>2</v>
      </c>
      <c r="AK80" s="77">
        <f>IF($F$9=TRUE,IF($C80="DUCTED",VLOOKUP($F80,'DX-Data'!$F$5:$J$11,4,TRUE),IF($C80="DECORATIVE",VLOOKUP($F80,'DX-Data'!$F$19:$J$23,4,TRUE),IF($C80="PACKAGED",VLOOKUP($F80,'DX-Data'!$F$24:$J$30,4,TRUE),IF($C80="DUCTED-INV",VLOOKUP($F80,'DX-Data'!$F$12:$J$18,4,TRUE),"CHOOSE AC TYPE")))),0)</f>
        <v>1</v>
      </c>
      <c r="AL80" s="77">
        <f>IF($G$9=TRUE,IF($C80="DUCTED",VLOOKUP($G80,'DX-Data'!$H$5:$J$11,2,TRUE),IF($C80="DECORATIVE",VLOOKUP($G80,'DX-Data'!$H$19:$J$23,2,TRUE),IF($C80="PACKAGED",VLOOKUP($G80,'DX-Data'!$H$24:$J$30,2,TRUE),IF($C80="DUCTED-INV",VLOOKUP($G80,'DX-Data'!$H$12:$J$18,2,TRUE),"CHOOSE AC TYPE")))),0)</f>
        <v>0</v>
      </c>
      <c r="AM80" s="77">
        <f t="shared" si="5"/>
        <v>2</v>
      </c>
      <c r="AN80" s="76" t="str">
        <f>IF(E80="","",VLOOKUP($AM80,'DX-Data'!$I$5:$J$31,2,FALSE))</f>
        <v>FDMRN25AVKU - RR25AVKU</v>
      </c>
      <c r="AO80" s="77">
        <f t="shared" si="6"/>
        <v>1</v>
      </c>
    </row>
    <row r="81" spans="2:41" x14ac:dyDescent="0.3">
      <c r="B81" s="71" t="s">
        <v>160</v>
      </c>
      <c r="C81" s="26" t="s">
        <v>38</v>
      </c>
      <c r="D81" s="27" t="s">
        <v>203</v>
      </c>
      <c r="E81" s="26">
        <v>7.4</v>
      </c>
      <c r="F81" s="26">
        <v>5.9</v>
      </c>
      <c r="G81" s="82">
        <v>486</v>
      </c>
      <c r="H81" s="74" t="str">
        <f t="shared" si="7"/>
        <v>FDMRN36AVKU - RR36AVKU</v>
      </c>
      <c r="I81" s="2">
        <v>2</v>
      </c>
      <c r="J81" s="21">
        <f>IF($H81="","",VLOOKUP($H81,Data!$C$6:$Y$29,2,FALSE))</f>
        <v>3</v>
      </c>
      <c r="K81" s="2" t="str">
        <f>IF($H81="","",VLOOKUP($H81,Data!$C$6:$Y$29,3,FALSE))</f>
        <v>Non-Inverter</v>
      </c>
      <c r="L81" s="2" t="str">
        <f>IF($H81="","",VLOOKUP($H81,Data!$C$6:$Y$29,4,FALSE))</f>
        <v>R-410A</v>
      </c>
      <c r="M81" s="2" t="str">
        <f>IF($H81="","",VLOOKUP($H81,Data!$C$6:$Y$29,5,FALSE))</f>
        <v>24/16</v>
      </c>
      <c r="N81" s="2">
        <f>IF($H81="","",VLOOKUP($H81,Data!$C$6:$Y$29,6,FALSE))</f>
        <v>46</v>
      </c>
      <c r="O81" s="2">
        <f>IF($H81="","",VLOOKUP($H81,Data!$C$6:$Y$29,7,FALSE))</f>
        <v>8.42</v>
      </c>
      <c r="P81" s="2">
        <f>IF($H81="","",VLOOKUP($H81,Data!$C$6:$Y$29,8,FALSE))</f>
        <v>8.18</v>
      </c>
      <c r="Q81" s="2">
        <f>IF($H81="","",VLOOKUP($H81,Data!$C$6:$Y$29,9,FALSE))</f>
        <v>650</v>
      </c>
      <c r="R81" s="2" t="str">
        <f>IF($H81="","",VLOOKUP($H81,Data!$C$6:$Y$29,10,FALSE))</f>
        <v>MEDIUM</v>
      </c>
      <c r="S81" s="2">
        <f>IF($H81="","",VLOOKUP($H81,Data!$C$6:$Y$29,11,FALSE))</f>
        <v>3.39</v>
      </c>
      <c r="T81" s="2">
        <f>IF($H81="","",VLOOKUP($H81,Data!$C$6:$Y$29,12,FALSE))</f>
        <v>3.55</v>
      </c>
      <c r="U81" s="2">
        <f>IF($H81="","",VLOOKUP($H81,Data!$C$6:$Y$29,13,FALSE))</f>
        <v>3.56</v>
      </c>
      <c r="V81" s="2">
        <f>IF($H81="","",VLOOKUP($H81,Data!$C$6:$Y$29,14,FALSE))</f>
        <v>50</v>
      </c>
      <c r="W81" s="2" t="str">
        <f>IF($H81="","",VLOOKUP($H81,Data!$C$6:$Y$29,15,FALSE))</f>
        <v>220-240/1/50</v>
      </c>
      <c r="X81" s="2">
        <f>IF($H81="","",VLOOKUP($H81,Data!$C$6:$Y$29,16,FALSE))</f>
        <v>378</v>
      </c>
      <c r="Y81" s="2">
        <f>IF($H81="","",VLOOKUP($H81,Data!$C$6:$Y$29,17,FALSE))</f>
        <v>1369</v>
      </c>
      <c r="Z81" s="2">
        <f>IF($H81="","",VLOOKUP($H81,Data!$C$6:$Y$29,18,FALSE))</f>
        <v>541</v>
      </c>
      <c r="AA81" s="2">
        <f>IF($H81="","",VLOOKUP($H81,Data!$C$6:$Y$29,19,FALSE))</f>
        <v>852</v>
      </c>
      <c r="AB81" s="2">
        <f>IF($H81="","",VLOOKUP($H81,Data!$C$6:$Y$29,20,FALSE))</f>
        <v>1030</v>
      </c>
      <c r="AC81" s="2">
        <f>IF($H81="","",VLOOKUP($H81,Data!$C$6:$Y$29,21,FALSE))</f>
        <v>400</v>
      </c>
      <c r="AD81" s="2">
        <f>IF($H81="","",VLOOKUP($H81,Data!$C$6:$Y$29,22,FALSE))</f>
        <v>50</v>
      </c>
      <c r="AE81" s="3">
        <f>IF($H81="","",VLOOKUP($H81,Data!$C$6:$Y$29,23,FALSE))</f>
        <v>92</v>
      </c>
      <c r="AG81" s="76" t="str">
        <f>IF($E81="","",IF($C81="DUCTED",VLOOKUP($E81,'DX-Data'!$D$5:$J$11,7,TRUE),IF($C81="DECORATIVE",VLOOKUP($E81,'DX-Data'!$D$19:$J$23,7,TRUE),IF($C81="PACKAGED",VLOOKUP($E81,'DX-Data'!$D$24:$J$30,7,TRUE),IF($C81="DUCTED-INV",VLOOKUP($E81,'DX-Data'!$D$12:$J$18,7,TRUE),"CHOOSE AC TYPE")))))</f>
        <v>FDMRN36AVKU - RR36AVKU</v>
      </c>
      <c r="AH81" s="76" t="str">
        <f>IF($F$9=TRUE,IF($C81="DUCTED",VLOOKUP($F81,'DX-Data'!$F$5:$J$11,5,TRUE),IF($C81="DECORATIVE",VLOOKUP($F81,'DX-Data'!$F$19:$J$23,5,TRUE),IF($C81="PACKAGED",VLOOKUP($F81,'DX-Data'!$F$24:$J$30,5,TRUE),IF($C81="DUCTED-INV",VLOOKUP($F81,'DX-Data'!$F$12:$J$18,5,TRUE),"CHOOSE AC TYPE")))),"NO SELECTION")</f>
        <v>FDMRN30AVKU - RR30AVKU</v>
      </c>
      <c r="AI81" s="76" t="str">
        <f>IF($G$9=TRUE,IF($C81="DUCTED",VLOOKUP($G81,'DX-Data'!$H$5:$J$11,3,TRUE),IF($C81="DECORATIVE",VLOOKUP($G81,'DX-Data'!$H$19:$J$23,3,TRUE),IF($C81="PACKAGED",VLOOKUP($G81,'DX-Data'!$H$24:$J$30,3,TRUE),IF($C81="DUCTED-INV",VLOOKUP($G81,'DX-Data'!$H$12:$J$18,3,TRUE),"CHOOSE AC TYPE")))),"NO SELECTION")</f>
        <v>NO SELECTION</v>
      </c>
      <c r="AJ81" s="77">
        <f>IF($E81="","",IF($C81="DUCTED",VLOOKUP($E81,'DX-Data'!$D$5:$J$11,6,TRUE),IF($C81="DECORATIVE",VLOOKUP($E81,'DX-Data'!$D$19:$J$23,6,TRUE),IF($C81="PACKAGED",VLOOKUP($E81,'DX-Data'!$D$24:$J$30,6,TRUE),IF($C81="DUCTED-INV",VLOOKUP($E81,'DX-Data'!$D$12:$J$18,6,TRUE),0)))))</f>
        <v>4</v>
      </c>
      <c r="AK81" s="77">
        <f>IF($F$9=TRUE,IF($C81="DUCTED",VLOOKUP($F81,'DX-Data'!$F$5:$J$11,4,TRUE),IF($C81="DECORATIVE",VLOOKUP($F81,'DX-Data'!$F$19:$J$23,4,TRUE),IF($C81="PACKAGED",VLOOKUP($F81,'DX-Data'!$F$24:$J$30,4,TRUE),IF($C81="DUCTED-INV",VLOOKUP($F81,'DX-Data'!$F$12:$J$18,4,TRUE),"CHOOSE AC TYPE")))),0)</f>
        <v>3</v>
      </c>
      <c r="AL81" s="77">
        <f>IF($G$9=TRUE,IF($C81="DUCTED",VLOOKUP($G81,'DX-Data'!$H$5:$J$11,2,TRUE),IF($C81="DECORATIVE",VLOOKUP($G81,'DX-Data'!$H$19:$J$23,2,TRUE),IF($C81="PACKAGED",VLOOKUP($G81,'DX-Data'!$H$24:$J$30,2,TRUE),IF($C81="DUCTED-INV",VLOOKUP($G81,'DX-Data'!$H$12:$J$18,2,TRUE),"CHOOSE AC TYPE")))),0)</f>
        <v>0</v>
      </c>
      <c r="AM81" s="77">
        <f t="shared" si="5"/>
        <v>4</v>
      </c>
      <c r="AN81" s="76" t="str">
        <f>IF(E81="","",VLOOKUP($AM81,'DX-Data'!$I$5:$J$31,2,FALSE))</f>
        <v>FDMRN36AVKU - RR36AVKU</v>
      </c>
      <c r="AO81" s="77">
        <f t="shared" si="6"/>
        <v>1</v>
      </c>
    </row>
    <row r="82" spans="2:41" x14ac:dyDescent="0.3">
      <c r="B82" s="71" t="s">
        <v>161</v>
      </c>
      <c r="C82" s="26" t="s">
        <v>38</v>
      </c>
      <c r="D82" s="27" t="s">
        <v>204</v>
      </c>
      <c r="E82" s="26">
        <v>7.8</v>
      </c>
      <c r="F82" s="26">
        <v>6.3</v>
      </c>
      <c r="G82" s="82">
        <v>531</v>
      </c>
      <c r="H82" s="74" t="str">
        <f t="shared" si="7"/>
        <v>FDMRN36AVKU - RR36AVKU</v>
      </c>
      <c r="I82" s="2">
        <v>2</v>
      </c>
      <c r="J82" s="21">
        <f>IF($H82="","",VLOOKUP($H82,Data!$C$6:$Y$29,2,FALSE))</f>
        <v>3</v>
      </c>
      <c r="K82" s="2" t="str">
        <f>IF($H82="","",VLOOKUP($H82,Data!$C$6:$Y$29,3,FALSE))</f>
        <v>Non-Inverter</v>
      </c>
      <c r="L82" s="2" t="str">
        <f>IF($H82="","",VLOOKUP($H82,Data!$C$6:$Y$29,4,FALSE))</f>
        <v>R-410A</v>
      </c>
      <c r="M82" s="2" t="str">
        <f>IF($H82="","",VLOOKUP($H82,Data!$C$6:$Y$29,5,FALSE))</f>
        <v>24/16</v>
      </c>
      <c r="N82" s="2">
        <f>IF($H82="","",VLOOKUP($H82,Data!$C$6:$Y$29,6,FALSE))</f>
        <v>46</v>
      </c>
      <c r="O82" s="2">
        <f>IF($H82="","",VLOOKUP($H82,Data!$C$6:$Y$29,7,FALSE))</f>
        <v>8.42</v>
      </c>
      <c r="P82" s="2">
        <f>IF($H82="","",VLOOKUP($H82,Data!$C$6:$Y$29,8,FALSE))</f>
        <v>8.18</v>
      </c>
      <c r="Q82" s="2">
        <f>IF($H82="","",VLOOKUP($H82,Data!$C$6:$Y$29,9,FALSE))</f>
        <v>650</v>
      </c>
      <c r="R82" s="2" t="str">
        <f>IF($H82="","",VLOOKUP($H82,Data!$C$6:$Y$29,10,FALSE))</f>
        <v>MEDIUM</v>
      </c>
      <c r="S82" s="2">
        <f>IF($H82="","",VLOOKUP($H82,Data!$C$6:$Y$29,11,FALSE))</f>
        <v>3.39</v>
      </c>
      <c r="T82" s="2">
        <f>IF($H82="","",VLOOKUP($H82,Data!$C$6:$Y$29,12,FALSE))</f>
        <v>3.55</v>
      </c>
      <c r="U82" s="2">
        <f>IF($H82="","",VLOOKUP($H82,Data!$C$6:$Y$29,13,FALSE))</f>
        <v>3.56</v>
      </c>
      <c r="V82" s="2">
        <f>IF($H82="","",VLOOKUP($H82,Data!$C$6:$Y$29,14,FALSE))</f>
        <v>50</v>
      </c>
      <c r="W82" s="2" t="str">
        <f>IF($H82="","",VLOOKUP($H82,Data!$C$6:$Y$29,15,FALSE))</f>
        <v>220-240/1/50</v>
      </c>
      <c r="X82" s="2">
        <f>IF($H82="","",VLOOKUP($H82,Data!$C$6:$Y$29,16,FALSE))</f>
        <v>378</v>
      </c>
      <c r="Y82" s="2">
        <f>IF($H82="","",VLOOKUP($H82,Data!$C$6:$Y$29,17,FALSE))</f>
        <v>1369</v>
      </c>
      <c r="Z82" s="2">
        <f>IF($H82="","",VLOOKUP($H82,Data!$C$6:$Y$29,18,FALSE))</f>
        <v>541</v>
      </c>
      <c r="AA82" s="2">
        <f>IF($H82="","",VLOOKUP($H82,Data!$C$6:$Y$29,19,FALSE))</f>
        <v>852</v>
      </c>
      <c r="AB82" s="2">
        <f>IF($H82="","",VLOOKUP($H82,Data!$C$6:$Y$29,20,FALSE))</f>
        <v>1030</v>
      </c>
      <c r="AC82" s="2">
        <f>IF($H82="","",VLOOKUP($H82,Data!$C$6:$Y$29,21,FALSE))</f>
        <v>400</v>
      </c>
      <c r="AD82" s="2">
        <f>IF($H82="","",VLOOKUP($H82,Data!$C$6:$Y$29,22,FALSE))</f>
        <v>50</v>
      </c>
      <c r="AE82" s="3">
        <f>IF($H82="","",VLOOKUP($H82,Data!$C$6:$Y$29,23,FALSE))</f>
        <v>92</v>
      </c>
      <c r="AG82" s="76" t="str">
        <f>IF($E82="","",IF($C82="DUCTED",VLOOKUP($E82,'DX-Data'!$D$5:$J$11,7,TRUE),IF($C82="DECORATIVE",VLOOKUP($E82,'DX-Data'!$D$19:$J$23,7,TRUE),IF($C82="PACKAGED",VLOOKUP($E82,'DX-Data'!$D$24:$J$30,7,TRUE),IF($C82="DUCTED-INV",VLOOKUP($E82,'DX-Data'!$D$12:$J$18,7,TRUE),"CHOOSE AC TYPE")))))</f>
        <v>FDMRN36AVKU - RR36AVKU</v>
      </c>
      <c r="AH82" s="76" t="str">
        <f>IF($F$9=TRUE,IF($C82="DUCTED",VLOOKUP($F82,'DX-Data'!$F$5:$J$11,5,TRUE),IF($C82="DECORATIVE",VLOOKUP($F82,'DX-Data'!$F$19:$J$23,5,TRUE),IF($C82="PACKAGED",VLOOKUP($F82,'DX-Data'!$F$24:$J$30,5,TRUE),IF($C82="DUCTED-INV",VLOOKUP($F82,'DX-Data'!$F$12:$J$18,5,TRUE),"CHOOSE AC TYPE")))),"NO SELECTION")</f>
        <v>FDMRN30AVKU - RR30AVKU</v>
      </c>
      <c r="AI82" s="76" t="str">
        <f>IF($G$9=TRUE,IF($C82="DUCTED",VLOOKUP($G82,'DX-Data'!$H$5:$J$11,3,TRUE),IF($C82="DECORATIVE",VLOOKUP($G82,'DX-Data'!$H$19:$J$23,3,TRUE),IF($C82="PACKAGED",VLOOKUP($G82,'DX-Data'!$H$24:$J$30,3,TRUE),IF($C82="DUCTED-INV",VLOOKUP($G82,'DX-Data'!$H$12:$J$18,3,TRUE),"CHOOSE AC TYPE")))),"NO SELECTION")</f>
        <v>NO SELECTION</v>
      </c>
      <c r="AJ82" s="77">
        <f>IF($E82="","",IF($C82="DUCTED",VLOOKUP($E82,'DX-Data'!$D$5:$J$11,6,TRUE),IF($C82="DECORATIVE",VLOOKUP($E82,'DX-Data'!$D$19:$J$23,6,TRUE),IF($C82="PACKAGED",VLOOKUP($E82,'DX-Data'!$D$24:$J$30,6,TRUE),IF($C82="DUCTED-INV",VLOOKUP($E82,'DX-Data'!$D$12:$J$18,6,TRUE),0)))))</f>
        <v>4</v>
      </c>
      <c r="AK82" s="77">
        <f>IF($F$9=TRUE,IF($C82="DUCTED",VLOOKUP($F82,'DX-Data'!$F$5:$J$11,4,TRUE),IF($C82="DECORATIVE",VLOOKUP($F82,'DX-Data'!$F$19:$J$23,4,TRUE),IF($C82="PACKAGED",VLOOKUP($F82,'DX-Data'!$F$24:$J$30,4,TRUE),IF($C82="DUCTED-INV",VLOOKUP($F82,'DX-Data'!$F$12:$J$18,4,TRUE),"CHOOSE AC TYPE")))),0)</f>
        <v>3</v>
      </c>
      <c r="AL82" s="77">
        <f>IF($G$9=TRUE,IF($C82="DUCTED",VLOOKUP($G82,'DX-Data'!$H$5:$J$11,2,TRUE),IF($C82="DECORATIVE",VLOOKUP($G82,'DX-Data'!$H$19:$J$23,2,TRUE),IF($C82="PACKAGED",VLOOKUP($G82,'DX-Data'!$H$24:$J$30,2,TRUE),IF($C82="DUCTED-INV",VLOOKUP($G82,'DX-Data'!$H$12:$J$18,2,TRUE),"CHOOSE AC TYPE")))),0)</f>
        <v>0</v>
      </c>
      <c r="AM82" s="77">
        <f t="shared" si="5"/>
        <v>4</v>
      </c>
      <c r="AN82" s="76" t="str">
        <f>IF(E82="","",VLOOKUP($AM82,'DX-Data'!$I$5:$J$31,2,FALSE))</f>
        <v>FDMRN36AVKU - RR36AVKU</v>
      </c>
      <c r="AO82" s="77">
        <f t="shared" si="6"/>
        <v>1</v>
      </c>
    </row>
    <row r="83" spans="2:41" x14ac:dyDescent="0.3">
      <c r="B83" s="71" t="s">
        <v>162</v>
      </c>
      <c r="C83" s="26" t="s">
        <v>38</v>
      </c>
      <c r="D83" s="27" t="s">
        <v>205</v>
      </c>
      <c r="E83" s="26">
        <v>4.3</v>
      </c>
      <c r="F83" s="26">
        <v>3.6</v>
      </c>
      <c r="G83" s="82">
        <v>293</v>
      </c>
      <c r="H83" s="74" t="str">
        <f t="shared" si="7"/>
        <v>FDMRN25AVKU - RR25AVKU</v>
      </c>
      <c r="I83" s="2">
        <v>2</v>
      </c>
      <c r="J83" s="21">
        <f>IF($H83="","",VLOOKUP($H83,Data!$C$6:$Y$29,2,FALSE))</f>
        <v>2</v>
      </c>
      <c r="K83" s="2" t="str">
        <f>IF($H83="","",VLOOKUP($H83,Data!$C$6:$Y$29,3,FALSE))</f>
        <v>Non-Inverter</v>
      </c>
      <c r="L83" s="2" t="str">
        <f>IF($H83="","",VLOOKUP($H83,Data!$C$6:$Y$29,4,FALSE))</f>
        <v>R-410A</v>
      </c>
      <c r="M83" s="2" t="str">
        <f>IF($H83="","",VLOOKUP($H83,Data!$C$6:$Y$29,5,FALSE))</f>
        <v>24/16</v>
      </c>
      <c r="N83" s="2">
        <f>IF($H83="","",VLOOKUP($H83,Data!$C$6:$Y$29,6,FALSE))</f>
        <v>46</v>
      </c>
      <c r="O83" s="2">
        <f>IF($H83="","",VLOOKUP($H83,Data!$C$6:$Y$29,7,FALSE))</f>
        <v>5.48</v>
      </c>
      <c r="P83" s="2">
        <f>IF($H83="","",VLOOKUP($H83,Data!$C$6:$Y$29,8,FALSE))</f>
        <v>5.05</v>
      </c>
      <c r="Q83" s="2">
        <f>IF($H83="","",VLOOKUP($H83,Data!$C$6:$Y$29,9,FALSE))</f>
        <v>303</v>
      </c>
      <c r="R83" s="2" t="str">
        <f>IF($H83="","",VLOOKUP($H83,Data!$C$6:$Y$29,10,FALSE))</f>
        <v>MEDIUM</v>
      </c>
      <c r="S83" s="2">
        <f>IF($H83="","",VLOOKUP($H83,Data!$C$6:$Y$29,11,FALSE))</f>
        <v>2.29</v>
      </c>
      <c r="T83" s="2">
        <f>IF($H83="","",VLOOKUP($H83,Data!$C$6:$Y$29,12,FALSE))</f>
        <v>2.35</v>
      </c>
      <c r="U83" s="2">
        <f>IF($H83="","",VLOOKUP($H83,Data!$C$6:$Y$29,13,FALSE))</f>
        <v>3.44</v>
      </c>
      <c r="V83" s="2">
        <f>IF($H83="","",VLOOKUP($H83,Data!$C$6:$Y$29,14,FALSE))</f>
        <v>40</v>
      </c>
      <c r="W83" s="2" t="str">
        <f>IF($H83="","",VLOOKUP($H83,Data!$C$6:$Y$29,15,FALSE))</f>
        <v>220-240/1/50</v>
      </c>
      <c r="X83" s="2">
        <f>IF($H83="","",VLOOKUP($H83,Data!$C$6:$Y$29,16,FALSE))</f>
        <v>378</v>
      </c>
      <c r="Y83" s="2">
        <f>IF($H83="","",VLOOKUP($H83,Data!$C$6:$Y$29,17,FALSE))</f>
        <v>1115</v>
      </c>
      <c r="Z83" s="2">
        <f>IF($H83="","",VLOOKUP($H83,Data!$C$6:$Y$29,18,FALSE))</f>
        <v>541</v>
      </c>
      <c r="AA83" s="2">
        <f>IF($H83="","",VLOOKUP($H83,Data!$C$6:$Y$29,19,FALSE))</f>
        <v>753</v>
      </c>
      <c r="AB83" s="2">
        <f>IF($H83="","",VLOOKUP($H83,Data!$C$6:$Y$29,20,FALSE))</f>
        <v>855</v>
      </c>
      <c r="AC83" s="2">
        <f>IF($H83="","",VLOOKUP($H83,Data!$C$6:$Y$29,21,FALSE))</f>
        <v>328</v>
      </c>
      <c r="AD83" s="2">
        <f>IF($H83="","",VLOOKUP($H83,Data!$C$6:$Y$29,22,FALSE))</f>
        <v>44</v>
      </c>
      <c r="AE83" s="3">
        <f>IF($H83="","",VLOOKUP($H83,Data!$C$6:$Y$29,23,FALSE))</f>
        <v>51</v>
      </c>
      <c r="AG83" s="76" t="str">
        <f>IF($E83="","",IF($C83="DUCTED",VLOOKUP($E83,'DX-Data'!$D$5:$J$11,7,TRUE),IF($C83="DECORATIVE",VLOOKUP($E83,'DX-Data'!$D$19:$J$23,7,TRUE),IF($C83="PACKAGED",VLOOKUP($E83,'DX-Data'!$D$24:$J$30,7,TRUE),IF($C83="DUCTED-INV",VLOOKUP($E83,'DX-Data'!$D$12:$J$18,7,TRUE),"CHOOSE AC TYPE")))))</f>
        <v>FDMRN25AVKU - RR25AVKU</v>
      </c>
      <c r="AH83" s="76" t="str">
        <f>IF($F$9=TRUE,IF($C83="DUCTED",VLOOKUP($F83,'DX-Data'!$F$5:$J$11,5,TRUE),IF($C83="DECORATIVE",VLOOKUP($F83,'DX-Data'!$F$19:$J$23,5,TRUE),IF($C83="PACKAGED",VLOOKUP($F83,'DX-Data'!$F$24:$J$30,5,TRUE),IF($C83="DUCTED-INV",VLOOKUP($F83,'DX-Data'!$F$12:$J$18,5,TRUE),"CHOOSE AC TYPE")))),"NO SELECTION")</f>
        <v>FDMRN20AVKU - RR20AVKU</v>
      </c>
      <c r="AI83" s="76" t="str">
        <f>IF($G$9=TRUE,IF($C83="DUCTED",VLOOKUP($G83,'DX-Data'!$H$5:$J$11,3,TRUE),IF($C83="DECORATIVE",VLOOKUP($G83,'DX-Data'!$H$19:$J$23,3,TRUE),IF($C83="PACKAGED",VLOOKUP($G83,'DX-Data'!$H$24:$J$30,3,TRUE),IF($C83="DUCTED-INV",VLOOKUP($G83,'DX-Data'!$H$12:$J$18,3,TRUE),"CHOOSE AC TYPE")))),"NO SELECTION")</f>
        <v>NO SELECTION</v>
      </c>
      <c r="AJ83" s="77">
        <f>IF($E83="","",IF($C83="DUCTED",VLOOKUP($E83,'DX-Data'!$D$5:$J$11,6,TRUE),IF($C83="DECORATIVE",VLOOKUP($E83,'DX-Data'!$D$19:$J$23,6,TRUE),IF($C83="PACKAGED",VLOOKUP($E83,'DX-Data'!$D$24:$J$30,6,TRUE),IF($C83="DUCTED-INV",VLOOKUP($E83,'DX-Data'!$D$12:$J$18,6,TRUE),0)))))</f>
        <v>2</v>
      </c>
      <c r="AK83" s="77">
        <f>IF($F$9=TRUE,IF($C83="DUCTED",VLOOKUP($F83,'DX-Data'!$F$5:$J$11,4,TRUE),IF($C83="DECORATIVE",VLOOKUP($F83,'DX-Data'!$F$19:$J$23,4,TRUE),IF($C83="PACKAGED",VLOOKUP($F83,'DX-Data'!$F$24:$J$30,4,TRUE),IF($C83="DUCTED-INV",VLOOKUP($F83,'DX-Data'!$F$12:$J$18,4,TRUE),"CHOOSE AC TYPE")))),0)</f>
        <v>1</v>
      </c>
      <c r="AL83" s="77">
        <f>IF($G$9=TRUE,IF($C83="DUCTED",VLOOKUP($G83,'DX-Data'!$H$5:$J$11,2,TRUE),IF($C83="DECORATIVE",VLOOKUP($G83,'DX-Data'!$H$19:$J$23,2,TRUE),IF($C83="PACKAGED",VLOOKUP($G83,'DX-Data'!$H$24:$J$30,2,TRUE),IF($C83="DUCTED-INV",VLOOKUP($G83,'DX-Data'!$H$12:$J$18,2,TRUE),"CHOOSE AC TYPE")))),0)</f>
        <v>0</v>
      </c>
      <c r="AM83" s="77">
        <f t="shared" si="5"/>
        <v>2</v>
      </c>
      <c r="AN83" s="76" t="str">
        <f>IF(E83="","",VLOOKUP($AM83,'DX-Data'!$I$5:$J$31,2,FALSE))</f>
        <v>FDMRN25AVKU - RR25AVKU</v>
      </c>
      <c r="AO83" s="77">
        <f t="shared" si="6"/>
        <v>1</v>
      </c>
    </row>
    <row r="84" spans="2:41" x14ac:dyDescent="0.3">
      <c r="B84" s="71" t="s">
        <v>163</v>
      </c>
      <c r="C84" s="26" t="s">
        <v>38</v>
      </c>
      <c r="D84" s="27" t="s">
        <v>212</v>
      </c>
      <c r="E84" s="26">
        <v>4.8</v>
      </c>
      <c r="F84" s="26">
        <v>4</v>
      </c>
      <c r="G84" s="82">
        <v>335</v>
      </c>
      <c r="H84" s="74" t="str">
        <f t="shared" si="7"/>
        <v>FDMRN25AVKU - RR25AVKU</v>
      </c>
      <c r="I84" s="2">
        <v>2</v>
      </c>
      <c r="J84" s="21">
        <f>IF($H84="","",VLOOKUP($H84,Data!$C$6:$Y$29,2,FALSE))</f>
        <v>2</v>
      </c>
      <c r="K84" s="2" t="str">
        <f>IF($H84="","",VLOOKUP($H84,Data!$C$6:$Y$29,3,FALSE))</f>
        <v>Non-Inverter</v>
      </c>
      <c r="L84" s="2" t="str">
        <f>IF($H84="","",VLOOKUP($H84,Data!$C$6:$Y$29,4,FALSE))</f>
        <v>R-410A</v>
      </c>
      <c r="M84" s="2" t="str">
        <f>IF($H84="","",VLOOKUP($H84,Data!$C$6:$Y$29,5,FALSE))</f>
        <v>24/16</v>
      </c>
      <c r="N84" s="2">
        <f>IF($H84="","",VLOOKUP($H84,Data!$C$6:$Y$29,6,FALSE))</f>
        <v>46</v>
      </c>
      <c r="O84" s="2">
        <f>IF($H84="","",VLOOKUP($H84,Data!$C$6:$Y$29,7,FALSE))</f>
        <v>5.48</v>
      </c>
      <c r="P84" s="2">
        <f>IF($H84="","",VLOOKUP($H84,Data!$C$6:$Y$29,8,FALSE))</f>
        <v>5.05</v>
      </c>
      <c r="Q84" s="2">
        <f>IF($H84="","",VLOOKUP($H84,Data!$C$6:$Y$29,9,FALSE))</f>
        <v>303</v>
      </c>
      <c r="R84" s="2" t="str">
        <f>IF($H84="","",VLOOKUP($H84,Data!$C$6:$Y$29,10,FALSE))</f>
        <v>MEDIUM</v>
      </c>
      <c r="S84" s="2">
        <f>IF($H84="","",VLOOKUP($H84,Data!$C$6:$Y$29,11,FALSE))</f>
        <v>2.29</v>
      </c>
      <c r="T84" s="2">
        <f>IF($H84="","",VLOOKUP($H84,Data!$C$6:$Y$29,12,FALSE))</f>
        <v>2.35</v>
      </c>
      <c r="U84" s="2">
        <f>IF($H84="","",VLOOKUP($H84,Data!$C$6:$Y$29,13,FALSE))</f>
        <v>3.44</v>
      </c>
      <c r="V84" s="2">
        <f>IF($H84="","",VLOOKUP($H84,Data!$C$6:$Y$29,14,FALSE))</f>
        <v>40</v>
      </c>
      <c r="W84" s="2" t="str">
        <f>IF($H84="","",VLOOKUP($H84,Data!$C$6:$Y$29,15,FALSE))</f>
        <v>220-240/1/50</v>
      </c>
      <c r="X84" s="2">
        <f>IF($H84="","",VLOOKUP($H84,Data!$C$6:$Y$29,16,FALSE))</f>
        <v>378</v>
      </c>
      <c r="Y84" s="2">
        <f>IF($H84="","",VLOOKUP($H84,Data!$C$6:$Y$29,17,FALSE))</f>
        <v>1115</v>
      </c>
      <c r="Z84" s="2">
        <f>IF($H84="","",VLOOKUP($H84,Data!$C$6:$Y$29,18,FALSE))</f>
        <v>541</v>
      </c>
      <c r="AA84" s="2">
        <f>IF($H84="","",VLOOKUP($H84,Data!$C$6:$Y$29,19,FALSE))</f>
        <v>753</v>
      </c>
      <c r="AB84" s="2">
        <f>IF($H84="","",VLOOKUP($H84,Data!$C$6:$Y$29,20,FALSE))</f>
        <v>855</v>
      </c>
      <c r="AC84" s="2">
        <f>IF($H84="","",VLOOKUP($H84,Data!$C$6:$Y$29,21,FALSE))</f>
        <v>328</v>
      </c>
      <c r="AD84" s="2">
        <f>IF($H84="","",VLOOKUP($H84,Data!$C$6:$Y$29,22,FALSE))</f>
        <v>44</v>
      </c>
      <c r="AE84" s="3">
        <f>IF($H84="","",VLOOKUP($H84,Data!$C$6:$Y$29,23,FALSE))</f>
        <v>51</v>
      </c>
      <c r="AG84" s="76" t="str">
        <f>IF($E84="","",IF($C84="DUCTED",VLOOKUP($E84,'DX-Data'!$D$5:$J$11,7,TRUE),IF($C84="DECORATIVE",VLOOKUP($E84,'DX-Data'!$D$19:$J$23,7,TRUE),IF($C84="PACKAGED",VLOOKUP($E84,'DX-Data'!$D$24:$J$30,7,TRUE),IF($C84="DUCTED-INV",VLOOKUP($E84,'DX-Data'!$D$12:$J$18,7,TRUE),"CHOOSE AC TYPE")))))</f>
        <v>FDMRN25AVKU - RR25AVKU</v>
      </c>
      <c r="AH84" s="76" t="str">
        <f>IF($F$9=TRUE,IF($C84="DUCTED",VLOOKUP($F84,'DX-Data'!$F$5:$J$11,5,TRUE),IF($C84="DECORATIVE",VLOOKUP($F84,'DX-Data'!$F$19:$J$23,5,TRUE),IF($C84="PACKAGED",VLOOKUP($F84,'DX-Data'!$F$24:$J$30,5,TRUE),IF($C84="DUCTED-INV",VLOOKUP($F84,'DX-Data'!$F$12:$J$18,5,TRUE),"CHOOSE AC TYPE")))),"NO SELECTION")</f>
        <v>FDMRN20AVKU - RR20AVKU</v>
      </c>
      <c r="AI84" s="76" t="str">
        <f>IF($G$9=TRUE,IF($C84="DUCTED",VLOOKUP($G84,'DX-Data'!$H$5:$J$11,3,TRUE),IF($C84="DECORATIVE",VLOOKUP($G84,'DX-Data'!$H$19:$J$23,3,TRUE),IF($C84="PACKAGED",VLOOKUP($G84,'DX-Data'!$H$24:$J$30,3,TRUE),IF($C84="DUCTED-INV",VLOOKUP($G84,'DX-Data'!$H$12:$J$18,3,TRUE),"CHOOSE AC TYPE")))),"NO SELECTION")</f>
        <v>NO SELECTION</v>
      </c>
      <c r="AJ84" s="77">
        <f>IF($E84="","",IF($C84="DUCTED",VLOOKUP($E84,'DX-Data'!$D$5:$J$11,6,TRUE),IF($C84="DECORATIVE",VLOOKUP($E84,'DX-Data'!$D$19:$J$23,6,TRUE),IF($C84="PACKAGED",VLOOKUP($E84,'DX-Data'!$D$24:$J$30,6,TRUE),IF($C84="DUCTED-INV",VLOOKUP($E84,'DX-Data'!$D$12:$J$18,6,TRUE),0)))))</f>
        <v>2</v>
      </c>
      <c r="AK84" s="77">
        <f>IF($F$9=TRUE,IF($C84="DUCTED",VLOOKUP($F84,'DX-Data'!$F$5:$J$11,4,TRUE),IF($C84="DECORATIVE",VLOOKUP($F84,'DX-Data'!$F$19:$J$23,4,TRUE),IF($C84="PACKAGED",VLOOKUP($F84,'DX-Data'!$F$24:$J$30,4,TRUE),IF($C84="DUCTED-INV",VLOOKUP($F84,'DX-Data'!$F$12:$J$18,4,TRUE),"CHOOSE AC TYPE")))),0)</f>
        <v>1</v>
      </c>
      <c r="AL84" s="77">
        <f>IF($G$9=TRUE,IF($C84="DUCTED",VLOOKUP($G84,'DX-Data'!$H$5:$J$11,2,TRUE),IF($C84="DECORATIVE",VLOOKUP($G84,'DX-Data'!$H$19:$J$23,2,TRUE),IF($C84="PACKAGED",VLOOKUP($G84,'DX-Data'!$H$24:$J$30,2,TRUE),IF($C84="DUCTED-INV",VLOOKUP($G84,'DX-Data'!$H$12:$J$18,2,TRUE),"CHOOSE AC TYPE")))),0)</f>
        <v>0</v>
      </c>
      <c r="AM84" s="77">
        <f t="shared" si="5"/>
        <v>2</v>
      </c>
      <c r="AN84" s="76" t="str">
        <f>IF(E84="","",VLOOKUP($AM84,'DX-Data'!$I$5:$J$31,2,FALSE))</f>
        <v>FDMRN25AVKU - RR25AVKU</v>
      </c>
      <c r="AO84" s="77">
        <f t="shared" si="6"/>
        <v>1</v>
      </c>
    </row>
    <row r="85" spans="2:41" x14ac:dyDescent="0.3">
      <c r="B85" s="71" t="s">
        <v>164</v>
      </c>
      <c r="C85" s="26" t="s">
        <v>38</v>
      </c>
      <c r="D85" s="27" t="s">
        <v>208</v>
      </c>
      <c r="E85" s="26">
        <v>4.9000000000000004</v>
      </c>
      <c r="F85" s="26">
        <v>3.8</v>
      </c>
      <c r="G85" s="82">
        <v>314</v>
      </c>
      <c r="H85" s="74" t="str">
        <f t="shared" si="7"/>
        <v>FDMRN25AVKU - RR25AVKU</v>
      </c>
      <c r="I85" s="2">
        <v>2</v>
      </c>
      <c r="J85" s="21">
        <f>IF($H85="","",VLOOKUP($H85,Data!$C$6:$Y$29,2,FALSE))</f>
        <v>2</v>
      </c>
      <c r="K85" s="2" t="str">
        <f>IF($H85="","",VLOOKUP($H85,Data!$C$6:$Y$29,3,FALSE))</f>
        <v>Non-Inverter</v>
      </c>
      <c r="L85" s="2" t="str">
        <f>IF($H85="","",VLOOKUP($H85,Data!$C$6:$Y$29,4,FALSE))</f>
        <v>R-410A</v>
      </c>
      <c r="M85" s="2" t="str">
        <f>IF($H85="","",VLOOKUP($H85,Data!$C$6:$Y$29,5,FALSE))</f>
        <v>24/16</v>
      </c>
      <c r="N85" s="2">
        <f>IF($H85="","",VLOOKUP($H85,Data!$C$6:$Y$29,6,FALSE))</f>
        <v>46</v>
      </c>
      <c r="O85" s="2">
        <f>IF($H85="","",VLOOKUP($H85,Data!$C$6:$Y$29,7,FALSE))</f>
        <v>5.48</v>
      </c>
      <c r="P85" s="2">
        <f>IF($H85="","",VLOOKUP($H85,Data!$C$6:$Y$29,8,FALSE))</f>
        <v>5.05</v>
      </c>
      <c r="Q85" s="2">
        <f>IF($H85="","",VLOOKUP($H85,Data!$C$6:$Y$29,9,FALSE))</f>
        <v>303</v>
      </c>
      <c r="R85" s="2" t="str">
        <f>IF($H85="","",VLOOKUP($H85,Data!$C$6:$Y$29,10,FALSE))</f>
        <v>MEDIUM</v>
      </c>
      <c r="S85" s="2">
        <f>IF($H85="","",VLOOKUP($H85,Data!$C$6:$Y$29,11,FALSE))</f>
        <v>2.29</v>
      </c>
      <c r="T85" s="2">
        <f>IF($H85="","",VLOOKUP($H85,Data!$C$6:$Y$29,12,FALSE))</f>
        <v>2.35</v>
      </c>
      <c r="U85" s="2">
        <f>IF($H85="","",VLOOKUP($H85,Data!$C$6:$Y$29,13,FALSE))</f>
        <v>3.44</v>
      </c>
      <c r="V85" s="2">
        <f>IF($H85="","",VLOOKUP($H85,Data!$C$6:$Y$29,14,FALSE))</f>
        <v>40</v>
      </c>
      <c r="W85" s="2" t="str">
        <f>IF($H85="","",VLOOKUP($H85,Data!$C$6:$Y$29,15,FALSE))</f>
        <v>220-240/1/50</v>
      </c>
      <c r="X85" s="2">
        <f>IF($H85="","",VLOOKUP($H85,Data!$C$6:$Y$29,16,FALSE))</f>
        <v>378</v>
      </c>
      <c r="Y85" s="2">
        <f>IF($H85="","",VLOOKUP($H85,Data!$C$6:$Y$29,17,FALSE))</f>
        <v>1115</v>
      </c>
      <c r="Z85" s="2">
        <f>IF($H85="","",VLOOKUP($H85,Data!$C$6:$Y$29,18,FALSE))</f>
        <v>541</v>
      </c>
      <c r="AA85" s="2">
        <f>IF($H85="","",VLOOKUP($H85,Data!$C$6:$Y$29,19,FALSE))</f>
        <v>753</v>
      </c>
      <c r="AB85" s="2">
        <f>IF($H85="","",VLOOKUP($H85,Data!$C$6:$Y$29,20,FALSE))</f>
        <v>855</v>
      </c>
      <c r="AC85" s="2">
        <f>IF($H85="","",VLOOKUP($H85,Data!$C$6:$Y$29,21,FALSE))</f>
        <v>328</v>
      </c>
      <c r="AD85" s="2">
        <f>IF($H85="","",VLOOKUP($H85,Data!$C$6:$Y$29,22,FALSE))</f>
        <v>44</v>
      </c>
      <c r="AE85" s="3">
        <f>IF($H85="","",VLOOKUP($H85,Data!$C$6:$Y$29,23,FALSE))</f>
        <v>51</v>
      </c>
      <c r="AG85" s="76" t="str">
        <f>IF($E85="","",IF($C85="DUCTED",VLOOKUP($E85,'DX-Data'!$D$5:$J$11,7,TRUE),IF($C85="DECORATIVE",VLOOKUP($E85,'DX-Data'!$D$19:$J$23,7,TRUE),IF($C85="PACKAGED",VLOOKUP($E85,'DX-Data'!$D$24:$J$30,7,TRUE),IF($C85="DUCTED-INV",VLOOKUP($E85,'DX-Data'!$D$12:$J$18,7,TRUE),"CHOOSE AC TYPE")))))</f>
        <v>FDMRN25AVKU - RR25AVKU</v>
      </c>
      <c r="AH85" s="76" t="str">
        <f>IF($F$9=TRUE,IF($C85="DUCTED",VLOOKUP($F85,'DX-Data'!$F$5:$J$11,5,TRUE),IF($C85="DECORATIVE",VLOOKUP($F85,'DX-Data'!$F$19:$J$23,5,TRUE),IF($C85="PACKAGED",VLOOKUP($F85,'DX-Data'!$F$24:$J$30,5,TRUE),IF($C85="DUCTED-INV",VLOOKUP($F85,'DX-Data'!$F$12:$J$18,5,TRUE),"CHOOSE AC TYPE")))),"NO SELECTION")</f>
        <v>FDMRN20AVKU - RR20AVKU</v>
      </c>
      <c r="AI85" s="76" t="str">
        <f>IF($G$9=TRUE,IF($C85="DUCTED",VLOOKUP($G85,'DX-Data'!$H$5:$J$11,3,TRUE),IF($C85="DECORATIVE",VLOOKUP($G85,'DX-Data'!$H$19:$J$23,3,TRUE),IF($C85="PACKAGED",VLOOKUP($G85,'DX-Data'!$H$24:$J$30,3,TRUE),IF($C85="DUCTED-INV",VLOOKUP($G85,'DX-Data'!$H$12:$J$18,3,TRUE),"CHOOSE AC TYPE")))),"NO SELECTION")</f>
        <v>NO SELECTION</v>
      </c>
      <c r="AJ85" s="77">
        <f>IF($E85="","",IF($C85="DUCTED",VLOOKUP($E85,'DX-Data'!$D$5:$J$11,6,TRUE),IF($C85="DECORATIVE",VLOOKUP($E85,'DX-Data'!$D$19:$J$23,6,TRUE),IF($C85="PACKAGED",VLOOKUP($E85,'DX-Data'!$D$24:$J$30,6,TRUE),IF($C85="DUCTED-INV",VLOOKUP($E85,'DX-Data'!$D$12:$J$18,6,TRUE),0)))))</f>
        <v>2</v>
      </c>
      <c r="AK85" s="77">
        <f>IF($F$9=TRUE,IF($C85="DUCTED",VLOOKUP($F85,'DX-Data'!$F$5:$J$11,4,TRUE),IF($C85="DECORATIVE",VLOOKUP($F85,'DX-Data'!$F$19:$J$23,4,TRUE),IF($C85="PACKAGED",VLOOKUP($F85,'DX-Data'!$F$24:$J$30,4,TRUE),IF($C85="DUCTED-INV",VLOOKUP($F85,'DX-Data'!$F$12:$J$18,4,TRUE),"CHOOSE AC TYPE")))),0)</f>
        <v>1</v>
      </c>
      <c r="AL85" s="77">
        <f>IF($G$9=TRUE,IF($C85="DUCTED",VLOOKUP($G85,'DX-Data'!$H$5:$J$11,2,TRUE),IF($C85="DECORATIVE",VLOOKUP($G85,'DX-Data'!$H$19:$J$23,2,TRUE),IF($C85="PACKAGED",VLOOKUP($G85,'DX-Data'!$H$24:$J$30,2,TRUE),IF($C85="DUCTED-INV",VLOOKUP($G85,'DX-Data'!$H$12:$J$18,2,TRUE),"CHOOSE AC TYPE")))),0)</f>
        <v>0</v>
      </c>
      <c r="AM85" s="77">
        <f t="shared" si="5"/>
        <v>2</v>
      </c>
      <c r="AN85" s="76" t="str">
        <f>IF(E85="","",VLOOKUP($AM85,'DX-Data'!$I$5:$J$31,2,FALSE))</f>
        <v>FDMRN25AVKU - RR25AVKU</v>
      </c>
      <c r="AO85" s="77">
        <f t="shared" si="6"/>
        <v>1</v>
      </c>
    </row>
    <row r="86" spans="2:41" x14ac:dyDescent="0.3">
      <c r="B86" s="71" t="s">
        <v>165</v>
      </c>
      <c r="C86" s="26" t="s">
        <v>38</v>
      </c>
      <c r="D86" s="27" t="s">
        <v>214</v>
      </c>
      <c r="E86" s="26">
        <v>3.1</v>
      </c>
      <c r="F86" s="26">
        <v>2.8</v>
      </c>
      <c r="G86" s="82">
        <v>235</v>
      </c>
      <c r="H86" s="74" t="str">
        <f t="shared" si="7"/>
        <v>FDMRN20AVKU - RR20AVKU</v>
      </c>
      <c r="I86" s="2">
        <v>2</v>
      </c>
      <c r="J86" s="21">
        <f>IF($H86="","",VLOOKUP($H86,Data!$C$6:$Y$29,2,FALSE))</f>
        <v>1.5</v>
      </c>
      <c r="K86" s="2" t="str">
        <f>IF($H86="","",VLOOKUP($H86,Data!$C$6:$Y$29,3,FALSE))</f>
        <v>Non-Inverter</v>
      </c>
      <c r="L86" s="2" t="str">
        <f>IF($H86="","",VLOOKUP($H86,Data!$C$6:$Y$29,4,FALSE))</f>
        <v>R-410A</v>
      </c>
      <c r="M86" s="2" t="str">
        <f>IF($H86="","",VLOOKUP($H86,Data!$C$6:$Y$29,5,FALSE))</f>
        <v>24/16</v>
      </c>
      <c r="N86" s="2">
        <f>IF($H86="","",VLOOKUP($H86,Data!$C$6:$Y$29,6,FALSE))</f>
        <v>46</v>
      </c>
      <c r="O86" s="2">
        <f>IF($H86="","",VLOOKUP($H86,Data!$C$6:$Y$29,7,FALSE))</f>
        <v>4.24</v>
      </c>
      <c r="P86" s="2">
        <f>IF($H86="","",VLOOKUP($H86,Data!$C$6:$Y$29,8,FALSE))</f>
        <v>4.1100000000000003</v>
      </c>
      <c r="Q86" s="2">
        <f>IF($H86="","",VLOOKUP($H86,Data!$C$6:$Y$29,9,FALSE))</f>
        <v>255</v>
      </c>
      <c r="R86" s="2" t="str">
        <f>IF($H86="","",VLOOKUP($H86,Data!$C$6:$Y$29,10,FALSE))</f>
        <v>MEDIUM</v>
      </c>
      <c r="S86" s="2">
        <f>IF($H86="","",VLOOKUP($H86,Data!$C$6:$Y$29,11,FALSE))</f>
        <v>1.77</v>
      </c>
      <c r="T86" s="2">
        <f>IF($H86="","",VLOOKUP($H86,Data!$C$6:$Y$29,12,FALSE))</f>
        <v>1.8</v>
      </c>
      <c r="U86" s="2">
        <f>IF($H86="","",VLOOKUP($H86,Data!$C$6:$Y$29,13,FALSE))</f>
        <v>3.49</v>
      </c>
      <c r="V86" s="2">
        <f>IF($H86="","",VLOOKUP($H86,Data!$C$6:$Y$29,14,FALSE))</f>
        <v>40</v>
      </c>
      <c r="W86" s="2" t="str">
        <f>IF($H86="","",VLOOKUP($H86,Data!$C$6:$Y$29,15,FALSE))</f>
        <v>220-240/1/50</v>
      </c>
      <c r="X86" s="2">
        <f>IF($H86="","",VLOOKUP($H86,Data!$C$6:$Y$29,16,FALSE))</f>
        <v>261</v>
      </c>
      <c r="Y86" s="2">
        <f>IF($H86="","",VLOOKUP($H86,Data!$C$6:$Y$29,17,FALSE))</f>
        <v>1200</v>
      </c>
      <c r="Z86" s="2">
        <f>IF($H86="","",VLOOKUP($H86,Data!$C$6:$Y$29,18,FALSE))</f>
        <v>448</v>
      </c>
      <c r="AA86" s="2">
        <f>IF($H86="","",VLOOKUP($H86,Data!$C$6:$Y$29,19,FALSE))</f>
        <v>753</v>
      </c>
      <c r="AB86" s="2">
        <f>IF($H86="","",VLOOKUP($H86,Data!$C$6:$Y$29,20,FALSE))</f>
        <v>855</v>
      </c>
      <c r="AC86" s="2">
        <f>IF($H86="","",VLOOKUP($H86,Data!$C$6:$Y$29,21,FALSE))</f>
        <v>328</v>
      </c>
      <c r="AD86" s="2">
        <f>IF($H86="","",VLOOKUP($H86,Data!$C$6:$Y$29,22,FALSE))</f>
        <v>26</v>
      </c>
      <c r="AE86" s="3">
        <f>IF($H86="","",VLOOKUP($H86,Data!$C$6:$Y$29,23,FALSE))</f>
        <v>47</v>
      </c>
      <c r="AG86" s="76" t="str">
        <f>IF($E86="","",IF($C86="DUCTED",VLOOKUP($E86,'DX-Data'!$D$5:$J$11,7,TRUE),IF($C86="DECORATIVE",VLOOKUP($E86,'DX-Data'!$D$19:$J$23,7,TRUE),IF($C86="PACKAGED",VLOOKUP($E86,'DX-Data'!$D$24:$J$30,7,TRUE),IF($C86="DUCTED-INV",VLOOKUP($E86,'DX-Data'!$D$12:$J$18,7,TRUE),"CHOOSE AC TYPE")))))</f>
        <v>FDMRN20AVKU - RR20AVKU</v>
      </c>
      <c r="AH86" s="76" t="str">
        <f>IF($F$9=TRUE,IF($C86="DUCTED",VLOOKUP($F86,'DX-Data'!$F$5:$J$11,5,TRUE),IF($C86="DECORATIVE",VLOOKUP($F86,'DX-Data'!$F$19:$J$23,5,TRUE),IF($C86="PACKAGED",VLOOKUP($F86,'DX-Data'!$F$24:$J$30,5,TRUE),IF($C86="DUCTED-INV",VLOOKUP($F86,'DX-Data'!$F$12:$J$18,5,TRUE),"CHOOSE AC TYPE")))),"NO SELECTION")</f>
        <v>FDMRN20AVKU - RR20AVKU</v>
      </c>
      <c r="AI86" s="76" t="str">
        <f>IF($G$9=TRUE,IF($C86="DUCTED",VLOOKUP($G86,'DX-Data'!$H$5:$J$11,3,TRUE),IF($C86="DECORATIVE",VLOOKUP($G86,'DX-Data'!$H$19:$J$23,3,TRUE),IF($C86="PACKAGED",VLOOKUP($G86,'DX-Data'!$H$24:$J$30,3,TRUE),IF($C86="DUCTED-INV",VLOOKUP($G86,'DX-Data'!$H$12:$J$18,3,TRUE),"CHOOSE AC TYPE")))),"NO SELECTION")</f>
        <v>NO SELECTION</v>
      </c>
      <c r="AJ86" s="77">
        <f>IF($E86="","",IF($C86="DUCTED",VLOOKUP($E86,'DX-Data'!$D$5:$J$11,6,TRUE),IF($C86="DECORATIVE",VLOOKUP($E86,'DX-Data'!$D$19:$J$23,6,TRUE),IF($C86="PACKAGED",VLOOKUP($E86,'DX-Data'!$D$24:$J$30,6,TRUE),IF($C86="DUCTED-INV",VLOOKUP($E86,'DX-Data'!$D$12:$J$18,6,TRUE),0)))))</f>
        <v>1</v>
      </c>
      <c r="AK86" s="77">
        <f>IF($F$9=TRUE,IF($C86="DUCTED",VLOOKUP($F86,'DX-Data'!$F$5:$J$11,4,TRUE),IF($C86="DECORATIVE",VLOOKUP($F86,'DX-Data'!$F$19:$J$23,4,TRUE),IF($C86="PACKAGED",VLOOKUP($F86,'DX-Data'!$F$24:$J$30,4,TRUE),IF($C86="DUCTED-INV",VLOOKUP($F86,'DX-Data'!$F$12:$J$18,4,TRUE),"CHOOSE AC TYPE")))),0)</f>
        <v>1</v>
      </c>
      <c r="AL86" s="77">
        <f>IF($G$9=TRUE,IF($C86="DUCTED",VLOOKUP($G86,'DX-Data'!$H$5:$J$11,2,TRUE),IF($C86="DECORATIVE",VLOOKUP($G86,'DX-Data'!$H$19:$J$23,2,TRUE),IF($C86="PACKAGED",VLOOKUP($G86,'DX-Data'!$H$24:$J$30,2,TRUE),IF($C86="DUCTED-INV",VLOOKUP($G86,'DX-Data'!$H$12:$J$18,2,TRUE),"CHOOSE AC TYPE")))),0)</f>
        <v>0</v>
      </c>
      <c r="AM86" s="77">
        <f t="shared" si="5"/>
        <v>1</v>
      </c>
      <c r="AN86" s="76" t="str">
        <f>IF(E86="","",VLOOKUP($AM86,'DX-Data'!$I$5:$J$31,2,FALSE))</f>
        <v>FDMRN20AVKU - RR20AVKU</v>
      </c>
      <c r="AO86" s="77">
        <f t="shared" si="6"/>
        <v>1</v>
      </c>
    </row>
    <row r="87" spans="2:41" x14ac:dyDescent="0.3">
      <c r="B87" s="71" t="s">
        <v>166</v>
      </c>
      <c r="C87" s="26" t="s">
        <v>38</v>
      </c>
      <c r="D87" s="27" t="s">
        <v>211</v>
      </c>
      <c r="E87" s="26">
        <v>10.7</v>
      </c>
      <c r="F87" s="26">
        <v>8.1</v>
      </c>
      <c r="G87" s="82">
        <v>648</v>
      </c>
      <c r="H87" s="74" t="s">
        <v>50</v>
      </c>
      <c r="I87" s="2">
        <v>4</v>
      </c>
      <c r="J87" s="21">
        <f>IF($H87="","",VLOOKUP($H87,Data!$C$6:$Y$29,2,FALSE))</f>
        <v>2.5</v>
      </c>
      <c r="K87" s="2" t="str">
        <f>IF($H87="","",VLOOKUP($H87,Data!$C$6:$Y$29,3,FALSE))</f>
        <v>Non-Inverter</v>
      </c>
      <c r="L87" s="2" t="str">
        <f>IF($H87="","",VLOOKUP($H87,Data!$C$6:$Y$29,4,FALSE))</f>
        <v>R-410A</v>
      </c>
      <c r="M87" s="2" t="str">
        <f>IF($H87="","",VLOOKUP($H87,Data!$C$6:$Y$29,5,FALSE))</f>
        <v>24/16</v>
      </c>
      <c r="N87" s="2">
        <f>IF($H87="","",VLOOKUP($H87,Data!$C$6:$Y$29,6,FALSE))</f>
        <v>46</v>
      </c>
      <c r="O87" s="2">
        <f>IF($H87="","",VLOOKUP($H87,Data!$C$6:$Y$29,7,FALSE))</f>
        <v>6.93</v>
      </c>
      <c r="P87" s="2">
        <f>IF($H87="","",VLOOKUP($H87,Data!$C$6:$Y$29,8,FALSE))</f>
        <v>6.3</v>
      </c>
      <c r="Q87" s="2">
        <f>IF($H87="","",VLOOKUP($H87,Data!$C$6:$Y$29,9,FALSE))</f>
        <v>374</v>
      </c>
      <c r="R87" s="2" t="str">
        <f>IF($H87="","",VLOOKUP($H87,Data!$C$6:$Y$29,10,FALSE))</f>
        <v>MEDIUM</v>
      </c>
      <c r="S87" s="2">
        <f>IF($H87="","",VLOOKUP($H87,Data!$C$6:$Y$29,11,FALSE))</f>
        <v>2.87</v>
      </c>
      <c r="T87" s="2">
        <f>IF($H87="","",VLOOKUP($H87,Data!$C$6:$Y$29,12,FALSE))</f>
        <v>3.05</v>
      </c>
      <c r="U87" s="2">
        <f>IF($H87="","",VLOOKUP($H87,Data!$C$6:$Y$29,13,FALSE))</f>
        <v>3.49</v>
      </c>
      <c r="V87" s="2">
        <f>IF($H87="","",VLOOKUP($H87,Data!$C$6:$Y$29,14,FALSE))</f>
        <v>40</v>
      </c>
      <c r="W87" s="2" t="str">
        <f>IF($H87="","",VLOOKUP($H87,Data!$C$6:$Y$29,15,FALSE))</f>
        <v>220-240/1/50</v>
      </c>
      <c r="X87" s="2">
        <f>IF($H87="","",VLOOKUP($H87,Data!$C$6:$Y$29,16,FALSE))</f>
        <v>378</v>
      </c>
      <c r="Y87" s="2">
        <f>IF($H87="","",VLOOKUP($H87,Data!$C$6:$Y$29,17,FALSE))</f>
        <v>1115</v>
      </c>
      <c r="Z87" s="2">
        <f>IF($H87="","",VLOOKUP($H87,Data!$C$6:$Y$29,18,FALSE))</f>
        <v>541</v>
      </c>
      <c r="AA87" s="2">
        <f>IF($H87="","",VLOOKUP($H87,Data!$C$6:$Y$29,19,FALSE))</f>
        <v>852</v>
      </c>
      <c r="AB87" s="2">
        <f>IF($H87="","",VLOOKUP($H87,Data!$C$6:$Y$29,20,FALSE))</f>
        <v>1030</v>
      </c>
      <c r="AC87" s="2">
        <f>IF($H87="","",VLOOKUP($H87,Data!$C$6:$Y$29,21,FALSE))</f>
        <v>400</v>
      </c>
      <c r="AD87" s="2">
        <f>IF($H87="","",VLOOKUP($H87,Data!$C$6:$Y$29,22,FALSE))</f>
        <v>44</v>
      </c>
      <c r="AE87" s="3">
        <f>IF($H87="","",VLOOKUP($H87,Data!$C$6:$Y$29,23,FALSE))</f>
        <v>75</v>
      </c>
      <c r="AG87" s="76" t="str">
        <f>IF($E87="","",IF($C87="DUCTED",VLOOKUP($E87,'DX-Data'!$D$5:$J$11,7,TRUE),IF($C87="DECORATIVE",VLOOKUP($E87,'DX-Data'!$D$19:$J$23,7,TRUE),IF($C87="PACKAGED",VLOOKUP($E87,'DX-Data'!$D$24:$J$30,7,TRUE),IF($C87="DUCTED-INV",VLOOKUP($E87,'DX-Data'!$D$12:$J$18,7,TRUE),"CHOOSE AC TYPE")))))</f>
        <v>FDMRN50AVKU - RR50AYKU</v>
      </c>
      <c r="AH87" s="76" t="str">
        <f>IF($F$9=TRUE,IF($C87="DUCTED",VLOOKUP($F87,'DX-Data'!$F$5:$J$11,5,TRUE),IF($C87="DECORATIVE",VLOOKUP($F87,'DX-Data'!$F$19:$J$23,5,TRUE),IF($C87="PACKAGED",VLOOKUP($F87,'DX-Data'!$F$24:$J$30,5,TRUE),IF($C87="DUCTED-INV",VLOOKUP($F87,'DX-Data'!$F$12:$J$18,5,TRUE),"CHOOSE AC TYPE")))),"NO SELECTION")</f>
        <v>FDMRN36AVKU - RR36AVKU</v>
      </c>
      <c r="AI87" s="76" t="str">
        <f>IF($G$9=TRUE,IF($C87="DUCTED",VLOOKUP($G87,'DX-Data'!$H$5:$J$11,3,TRUE),IF($C87="DECORATIVE",VLOOKUP($G87,'DX-Data'!$H$19:$J$23,3,TRUE),IF($C87="PACKAGED",VLOOKUP($G87,'DX-Data'!$H$24:$J$30,3,TRUE),IF($C87="DUCTED-INV",VLOOKUP($G87,'DX-Data'!$H$12:$J$18,3,TRUE),"CHOOSE AC TYPE")))),"NO SELECTION")</f>
        <v>NO SELECTION</v>
      </c>
      <c r="AJ87" s="77">
        <f>IF($E87="","",IF($C87="DUCTED",VLOOKUP($E87,'DX-Data'!$D$5:$J$11,6,TRUE),IF($C87="DECORATIVE",VLOOKUP($E87,'DX-Data'!$D$19:$J$23,6,TRUE),IF($C87="PACKAGED",VLOOKUP($E87,'DX-Data'!$D$24:$J$30,6,TRUE),IF($C87="DUCTED-INV",VLOOKUP($E87,'DX-Data'!$D$12:$J$18,6,TRUE),0)))))</f>
        <v>5</v>
      </c>
      <c r="AK87" s="77">
        <f>IF($F$9=TRUE,IF($C87="DUCTED",VLOOKUP($F87,'DX-Data'!$F$5:$J$11,4,TRUE),IF($C87="DECORATIVE",VLOOKUP($F87,'DX-Data'!$F$19:$J$23,4,TRUE),IF($C87="PACKAGED",VLOOKUP($F87,'DX-Data'!$F$24:$J$30,4,TRUE),IF($C87="DUCTED-INV",VLOOKUP($F87,'DX-Data'!$F$12:$J$18,4,TRUE),"CHOOSE AC TYPE")))),0)</f>
        <v>4</v>
      </c>
      <c r="AL87" s="77">
        <f>IF($G$9=TRUE,IF($C87="DUCTED",VLOOKUP($G87,'DX-Data'!$H$5:$J$11,2,TRUE),IF($C87="DECORATIVE",VLOOKUP($G87,'DX-Data'!$H$19:$J$23,2,TRUE),IF($C87="PACKAGED",VLOOKUP($G87,'DX-Data'!$H$24:$J$30,2,TRUE),IF($C87="DUCTED-INV",VLOOKUP($G87,'DX-Data'!$H$12:$J$18,2,TRUE),"CHOOSE AC TYPE")))),0)</f>
        <v>0</v>
      </c>
      <c r="AM87" s="77">
        <f t="shared" si="5"/>
        <v>5</v>
      </c>
      <c r="AN87" s="76" t="str">
        <f>IF(E87="","",VLOOKUP($AM87,'DX-Data'!$I$5:$J$31,2,FALSE))</f>
        <v>FDMRN50AVKU - RR50AYKU</v>
      </c>
      <c r="AO87" s="77">
        <f t="shared" si="6"/>
        <v>1</v>
      </c>
    </row>
    <row r="88" spans="2:41" x14ac:dyDescent="0.3">
      <c r="B88" s="84"/>
      <c r="C88" s="26"/>
      <c r="D88" s="27"/>
      <c r="E88" s="26"/>
      <c r="F88" s="26"/>
      <c r="G88" s="82"/>
      <c r="H88" s="74"/>
      <c r="I88" s="2"/>
      <c r="J88" s="2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3"/>
      <c r="AG88" s="76"/>
      <c r="AH88" s="76"/>
      <c r="AI88" s="76"/>
      <c r="AJ88" s="77"/>
      <c r="AK88" s="77"/>
      <c r="AL88" s="77"/>
      <c r="AM88" s="77"/>
      <c r="AN88" s="76"/>
      <c r="AO88" s="77"/>
    </row>
    <row r="89" spans="2:41" x14ac:dyDescent="0.3">
      <c r="B89" s="71" t="s">
        <v>167</v>
      </c>
      <c r="C89" s="26" t="s">
        <v>38</v>
      </c>
      <c r="D89" s="27" t="s">
        <v>190</v>
      </c>
      <c r="E89" s="26">
        <v>8.5</v>
      </c>
      <c r="F89" s="26">
        <v>7.2</v>
      </c>
      <c r="G89" s="82">
        <v>596</v>
      </c>
      <c r="H89" s="74" t="str">
        <f t="shared" ref="H89:H153" si="9">AN89</f>
        <v>FDMRN50AVKU - RR50AYKU</v>
      </c>
      <c r="I89" s="2">
        <f t="shared" ref="I89:I153" si="10">AO89</f>
        <v>1</v>
      </c>
      <c r="J89" s="21">
        <f>IF($H89="","",VLOOKUP($H89,Data!$C$6:$Y$29,2,FALSE))</f>
        <v>4</v>
      </c>
      <c r="K89" s="2" t="str">
        <f>IF($H89="","",VLOOKUP($H89,Data!$C$6:$Y$29,3,FALSE))</f>
        <v>Non-Inverter</v>
      </c>
      <c r="L89" s="2" t="str">
        <f>IF($H89="","",VLOOKUP($H89,Data!$C$6:$Y$29,4,FALSE))</f>
        <v>R-410A</v>
      </c>
      <c r="M89" s="2" t="str">
        <f>IF($H89="","",VLOOKUP($H89,Data!$C$6:$Y$29,5,FALSE))</f>
        <v>24/16</v>
      </c>
      <c r="N89" s="2">
        <f>IF($H89="","",VLOOKUP($H89,Data!$C$6:$Y$29,6,FALSE))</f>
        <v>46</v>
      </c>
      <c r="O89" s="2">
        <f>IF($H89="","",VLOOKUP($H89,Data!$C$6:$Y$29,7,FALSE))</f>
        <v>11.46</v>
      </c>
      <c r="P89" s="2">
        <f>IF($H89="","",VLOOKUP($H89,Data!$C$6:$Y$29,8,FALSE))</f>
        <v>9.9600000000000009</v>
      </c>
      <c r="Q89" s="2">
        <f>IF($H89="","",VLOOKUP($H89,Data!$C$6:$Y$29,9,FALSE))</f>
        <v>686</v>
      </c>
      <c r="R89" s="2" t="str">
        <f>IF($H89="","",VLOOKUP($H89,Data!$C$6:$Y$29,10,FALSE))</f>
        <v>MEDIUM</v>
      </c>
      <c r="S89" s="2">
        <f>IF($H89="","",VLOOKUP($H89,Data!$C$6:$Y$29,11,FALSE))</f>
        <v>4.7</v>
      </c>
      <c r="T89" s="2">
        <f>IF($H89="","",VLOOKUP($H89,Data!$C$6:$Y$29,12,FALSE))</f>
        <v>4.95</v>
      </c>
      <c r="U89" s="2">
        <f>IF($H89="","",VLOOKUP($H89,Data!$C$6:$Y$29,13,FALSE))</f>
        <v>3.41</v>
      </c>
      <c r="V89" s="2">
        <f>IF($H89="","",VLOOKUP($H89,Data!$C$6:$Y$29,14,FALSE))</f>
        <v>50</v>
      </c>
      <c r="W89" s="2" t="str">
        <f>IF($H89="","",VLOOKUP($H89,Data!$C$6:$Y$29,15,FALSE))</f>
        <v>380-415/3/50</v>
      </c>
      <c r="X89" s="2">
        <f>IF($H89="","",VLOOKUP($H89,Data!$C$6:$Y$29,16,FALSE))</f>
        <v>378</v>
      </c>
      <c r="Y89" s="2">
        <f>IF($H89="","",VLOOKUP($H89,Data!$C$6:$Y$29,17,FALSE))</f>
        <v>1569</v>
      </c>
      <c r="Z89" s="2">
        <f>IF($H89="","",VLOOKUP($H89,Data!$C$6:$Y$29,18,FALSE))</f>
        <v>541</v>
      </c>
      <c r="AA89" s="2">
        <f>IF($H89="","",VLOOKUP($H89,Data!$C$6:$Y$29,19,FALSE))</f>
        <v>852</v>
      </c>
      <c r="AB89" s="2">
        <f>IF($H89="","",VLOOKUP($H89,Data!$C$6:$Y$29,20,FALSE))</f>
        <v>1030</v>
      </c>
      <c r="AC89" s="2">
        <f>IF($H89="","",VLOOKUP($H89,Data!$C$6:$Y$29,21,FALSE))</f>
        <v>400</v>
      </c>
      <c r="AD89" s="2">
        <f>IF($H89="","",VLOOKUP($H89,Data!$C$6:$Y$29,22,FALSE))</f>
        <v>56</v>
      </c>
      <c r="AE89" s="3">
        <f>IF($H89="","",VLOOKUP($H89,Data!$C$6:$Y$29,23,FALSE))</f>
        <v>87</v>
      </c>
      <c r="AG89" s="76" t="str">
        <f>IF($E89="","",IF($C89="DUCTED",VLOOKUP($E89,'DX-Data'!$D$5:$J$11,7,TRUE),IF($C89="DECORATIVE",VLOOKUP($E89,'DX-Data'!$D$19:$J$23,7,TRUE),IF($C89="PACKAGED",VLOOKUP($E89,'DX-Data'!$D$24:$J$30,7,TRUE),IF($C89="DUCTED-INV",VLOOKUP($E89,'DX-Data'!$D$12:$J$18,7,TRUE),"CHOOSE AC TYPE")))))</f>
        <v>FDMRN50AVKU - RR50AYKU</v>
      </c>
      <c r="AH89" s="76" t="str">
        <f>IF($F$9=TRUE,IF($C89="DUCTED",VLOOKUP($F89,'DX-Data'!$F$5:$J$11,5,TRUE),IF($C89="DECORATIVE",VLOOKUP($F89,'DX-Data'!$F$19:$J$23,5,TRUE),IF($C89="PACKAGED",VLOOKUP($F89,'DX-Data'!$F$24:$J$30,5,TRUE),IF($C89="DUCTED-INV",VLOOKUP($F89,'DX-Data'!$F$12:$J$18,5,TRUE),"CHOOSE AC TYPE")))),"NO SELECTION")</f>
        <v>FDMRN36AVKU - RR36AVKU</v>
      </c>
      <c r="AI89" s="76" t="str">
        <f>IF($G$9=TRUE,IF($C89="DUCTED",VLOOKUP($G89,'DX-Data'!$H$5:$J$11,3,TRUE),IF($C89="DECORATIVE",VLOOKUP($G89,'DX-Data'!$H$19:$J$23,3,TRUE),IF($C89="PACKAGED",VLOOKUP($G89,'DX-Data'!$H$24:$J$30,3,TRUE),IF($C89="DUCTED-INV",VLOOKUP($G89,'DX-Data'!$H$12:$J$18,3,TRUE),"CHOOSE AC TYPE")))),"NO SELECTION")</f>
        <v>NO SELECTION</v>
      </c>
      <c r="AJ89" s="77">
        <f>IF($E89="","",IF($C89="DUCTED",VLOOKUP($E89,'DX-Data'!$D$5:$J$11,6,TRUE),IF($C89="DECORATIVE",VLOOKUP($E89,'DX-Data'!$D$19:$J$23,6,TRUE),IF($C89="PACKAGED",VLOOKUP($E89,'DX-Data'!$D$24:$J$30,6,TRUE),IF($C89="DUCTED-INV",VLOOKUP($E89,'DX-Data'!$D$12:$J$18,6,TRUE),0)))))</f>
        <v>5</v>
      </c>
      <c r="AK89" s="77">
        <f>IF($F$9=TRUE,IF($C89="DUCTED",VLOOKUP($F89,'DX-Data'!$F$5:$J$11,4,TRUE),IF($C89="DECORATIVE",VLOOKUP($F89,'DX-Data'!$F$19:$J$23,4,TRUE),IF($C89="PACKAGED",VLOOKUP($F89,'DX-Data'!$F$24:$J$30,4,TRUE),IF($C89="DUCTED-INV",VLOOKUP($F89,'DX-Data'!$F$12:$J$18,4,TRUE),"CHOOSE AC TYPE")))),0)</f>
        <v>4</v>
      </c>
      <c r="AL89" s="77">
        <f>IF($G$9=TRUE,IF($C89="DUCTED",VLOOKUP($G89,'DX-Data'!$H$5:$J$11,2,TRUE),IF($C89="DECORATIVE",VLOOKUP($G89,'DX-Data'!$H$19:$J$23,2,TRUE),IF($C89="PACKAGED",VLOOKUP($G89,'DX-Data'!$H$24:$J$30,2,TRUE),IF($C89="DUCTED-INV",VLOOKUP($G89,'DX-Data'!$H$12:$J$18,2,TRUE),"CHOOSE AC TYPE")))),0)</f>
        <v>0</v>
      </c>
      <c r="AM89" s="77">
        <f t="shared" ref="AM89:AM153" si="11">MAX(AJ89:AL89)</f>
        <v>5</v>
      </c>
      <c r="AN89" s="76" t="str">
        <f>IF(E89="","",VLOOKUP($AM89,'DX-Data'!$I$5:$J$31,2,FALSE))</f>
        <v>FDMRN50AVKU - RR50AYKU</v>
      </c>
      <c r="AO89" s="77">
        <f t="shared" ref="AO89:AO153" si="12">IF(OR(AN89="",AN89=0),"",1)</f>
        <v>1</v>
      </c>
    </row>
    <row r="90" spans="2:41" x14ac:dyDescent="0.3">
      <c r="B90" s="71" t="s">
        <v>168</v>
      </c>
      <c r="C90" s="26" t="s">
        <v>38</v>
      </c>
      <c r="D90" s="27" t="s">
        <v>191</v>
      </c>
      <c r="E90" s="26">
        <v>7.3</v>
      </c>
      <c r="F90" s="26">
        <v>5.8</v>
      </c>
      <c r="G90" s="82">
        <v>481</v>
      </c>
      <c r="H90" s="74" t="str">
        <f t="shared" si="9"/>
        <v>FDMRN36AVKU - RR36AVKU</v>
      </c>
      <c r="I90" s="2">
        <f t="shared" si="10"/>
        <v>1</v>
      </c>
      <c r="J90" s="21">
        <f>IF($H90="","",VLOOKUP($H90,Data!$C$6:$Y$29,2,FALSE))</f>
        <v>3</v>
      </c>
      <c r="K90" s="2" t="str">
        <f>IF($H90="","",VLOOKUP($H90,Data!$C$6:$Y$29,3,FALSE))</f>
        <v>Non-Inverter</v>
      </c>
      <c r="L90" s="2" t="str">
        <f>IF($H90="","",VLOOKUP($H90,Data!$C$6:$Y$29,4,FALSE))</f>
        <v>R-410A</v>
      </c>
      <c r="M90" s="2" t="str">
        <f>IF($H90="","",VLOOKUP($H90,Data!$C$6:$Y$29,5,FALSE))</f>
        <v>24/16</v>
      </c>
      <c r="N90" s="2">
        <f>IF($H90="","",VLOOKUP($H90,Data!$C$6:$Y$29,6,FALSE))</f>
        <v>46</v>
      </c>
      <c r="O90" s="2">
        <f>IF($H90="","",VLOOKUP($H90,Data!$C$6:$Y$29,7,FALSE))</f>
        <v>8.42</v>
      </c>
      <c r="P90" s="2">
        <f>IF($H90="","",VLOOKUP($H90,Data!$C$6:$Y$29,8,FALSE))</f>
        <v>8.18</v>
      </c>
      <c r="Q90" s="2">
        <f>IF($H90="","",VLOOKUP($H90,Data!$C$6:$Y$29,9,FALSE))</f>
        <v>650</v>
      </c>
      <c r="R90" s="2" t="str">
        <f>IF($H90="","",VLOOKUP($H90,Data!$C$6:$Y$29,10,FALSE))</f>
        <v>MEDIUM</v>
      </c>
      <c r="S90" s="2">
        <f>IF($H90="","",VLOOKUP($H90,Data!$C$6:$Y$29,11,FALSE))</f>
        <v>3.39</v>
      </c>
      <c r="T90" s="2">
        <f>IF($H90="","",VLOOKUP($H90,Data!$C$6:$Y$29,12,FALSE))</f>
        <v>3.55</v>
      </c>
      <c r="U90" s="2">
        <f>IF($H90="","",VLOOKUP($H90,Data!$C$6:$Y$29,13,FALSE))</f>
        <v>3.56</v>
      </c>
      <c r="V90" s="2">
        <f>IF($H90="","",VLOOKUP($H90,Data!$C$6:$Y$29,14,FALSE))</f>
        <v>50</v>
      </c>
      <c r="W90" s="2" t="str">
        <f>IF($H90="","",VLOOKUP($H90,Data!$C$6:$Y$29,15,FALSE))</f>
        <v>220-240/1/50</v>
      </c>
      <c r="X90" s="2">
        <f>IF($H90="","",VLOOKUP($H90,Data!$C$6:$Y$29,16,FALSE))</f>
        <v>378</v>
      </c>
      <c r="Y90" s="2">
        <f>IF($H90="","",VLOOKUP($H90,Data!$C$6:$Y$29,17,FALSE))</f>
        <v>1369</v>
      </c>
      <c r="Z90" s="2">
        <f>IF($H90="","",VLOOKUP($H90,Data!$C$6:$Y$29,18,FALSE))</f>
        <v>541</v>
      </c>
      <c r="AA90" s="2">
        <f>IF($H90="","",VLOOKUP($H90,Data!$C$6:$Y$29,19,FALSE))</f>
        <v>852</v>
      </c>
      <c r="AB90" s="2">
        <f>IF($H90="","",VLOOKUP($H90,Data!$C$6:$Y$29,20,FALSE))</f>
        <v>1030</v>
      </c>
      <c r="AC90" s="2">
        <f>IF($H90="","",VLOOKUP($H90,Data!$C$6:$Y$29,21,FALSE))</f>
        <v>400</v>
      </c>
      <c r="AD90" s="2">
        <f>IF($H90="","",VLOOKUP($H90,Data!$C$6:$Y$29,22,FALSE))</f>
        <v>50</v>
      </c>
      <c r="AE90" s="3">
        <f>IF($H90="","",VLOOKUP($H90,Data!$C$6:$Y$29,23,FALSE))</f>
        <v>92</v>
      </c>
      <c r="AG90" s="76" t="str">
        <f>IF($E90="","",IF($C90="DUCTED",VLOOKUP($E90,'DX-Data'!$D$5:$J$11,7,TRUE),IF($C90="DECORATIVE",VLOOKUP($E90,'DX-Data'!$D$19:$J$23,7,TRUE),IF($C90="PACKAGED",VLOOKUP($E90,'DX-Data'!$D$24:$J$30,7,TRUE),IF($C90="DUCTED-INV",VLOOKUP($E90,'DX-Data'!$D$12:$J$18,7,TRUE),"CHOOSE AC TYPE")))))</f>
        <v>FDMRN36AVKU - RR36AVKU</v>
      </c>
      <c r="AH90" s="76" t="str">
        <f>IF($F$9=TRUE,IF($C90="DUCTED",VLOOKUP($F90,'DX-Data'!$F$5:$J$11,5,TRUE),IF($C90="DECORATIVE",VLOOKUP($F90,'DX-Data'!$F$19:$J$23,5,TRUE),IF($C90="PACKAGED",VLOOKUP($F90,'DX-Data'!$F$24:$J$30,5,TRUE),IF($C90="DUCTED-INV",VLOOKUP($F90,'DX-Data'!$F$12:$J$18,5,TRUE),"CHOOSE AC TYPE")))),"NO SELECTION")</f>
        <v>FDMRN30AVKU - RR30AVKU</v>
      </c>
      <c r="AI90" s="76" t="str">
        <f>IF($G$9=TRUE,IF($C90="DUCTED",VLOOKUP($G90,'DX-Data'!$H$5:$J$11,3,TRUE),IF($C90="DECORATIVE",VLOOKUP($G90,'DX-Data'!$H$19:$J$23,3,TRUE),IF($C90="PACKAGED",VLOOKUP($G90,'DX-Data'!$H$24:$J$30,3,TRUE),IF($C90="DUCTED-INV",VLOOKUP($G90,'DX-Data'!$H$12:$J$18,3,TRUE),"CHOOSE AC TYPE")))),"NO SELECTION")</f>
        <v>NO SELECTION</v>
      </c>
      <c r="AJ90" s="77">
        <f>IF($E90="","",IF($C90="DUCTED",VLOOKUP($E90,'DX-Data'!$D$5:$J$11,6,TRUE),IF($C90="DECORATIVE",VLOOKUP($E90,'DX-Data'!$D$19:$J$23,6,TRUE),IF($C90="PACKAGED",VLOOKUP($E90,'DX-Data'!$D$24:$J$30,6,TRUE),IF($C90="DUCTED-INV",VLOOKUP($E90,'DX-Data'!$D$12:$J$18,6,TRUE),0)))))</f>
        <v>4</v>
      </c>
      <c r="AK90" s="77">
        <f>IF($F$9=TRUE,IF($C90="DUCTED",VLOOKUP($F90,'DX-Data'!$F$5:$J$11,4,TRUE),IF($C90="DECORATIVE",VLOOKUP($F90,'DX-Data'!$F$19:$J$23,4,TRUE),IF($C90="PACKAGED",VLOOKUP($F90,'DX-Data'!$F$24:$J$30,4,TRUE),IF($C90="DUCTED-INV",VLOOKUP($F90,'DX-Data'!$F$12:$J$18,4,TRUE),"CHOOSE AC TYPE")))),0)</f>
        <v>3</v>
      </c>
      <c r="AL90" s="77">
        <f>IF($G$9=TRUE,IF($C90="DUCTED",VLOOKUP($G90,'DX-Data'!$H$5:$J$11,2,TRUE),IF($C90="DECORATIVE",VLOOKUP($G90,'DX-Data'!$H$19:$J$23,2,TRUE),IF($C90="PACKAGED",VLOOKUP($G90,'DX-Data'!$H$24:$J$30,2,TRUE),IF($C90="DUCTED-INV",VLOOKUP($G90,'DX-Data'!$H$12:$J$18,2,TRUE),"CHOOSE AC TYPE")))),0)</f>
        <v>0</v>
      </c>
      <c r="AM90" s="77">
        <f t="shared" si="11"/>
        <v>4</v>
      </c>
      <c r="AN90" s="76" t="str">
        <f>IF(E90="","",VLOOKUP($AM90,'DX-Data'!$I$5:$J$31,2,FALSE))</f>
        <v>FDMRN36AVKU - RR36AVKU</v>
      </c>
      <c r="AO90" s="77">
        <f t="shared" si="12"/>
        <v>1</v>
      </c>
    </row>
    <row r="91" spans="2:41" x14ac:dyDescent="0.3">
      <c r="B91" s="71" t="s">
        <v>169</v>
      </c>
      <c r="C91" s="26" t="s">
        <v>38</v>
      </c>
      <c r="D91" s="27" t="s">
        <v>192</v>
      </c>
      <c r="E91" s="26">
        <v>3.7</v>
      </c>
      <c r="F91" s="26">
        <v>3</v>
      </c>
      <c r="G91" s="82">
        <v>243</v>
      </c>
      <c r="H91" s="74" t="str">
        <f t="shared" si="9"/>
        <v>FDMRN20AVKU - RR20AVKU</v>
      </c>
      <c r="I91" s="2">
        <f t="shared" si="10"/>
        <v>1</v>
      </c>
      <c r="J91" s="21">
        <f>IF($H91="","",VLOOKUP($H91,Data!$C$6:$Y$29,2,FALSE))</f>
        <v>1.5</v>
      </c>
      <c r="K91" s="2" t="str">
        <f>IF($H91="","",VLOOKUP($H91,Data!$C$6:$Y$29,3,FALSE))</f>
        <v>Non-Inverter</v>
      </c>
      <c r="L91" s="2" t="str">
        <f>IF($H91="","",VLOOKUP($H91,Data!$C$6:$Y$29,4,FALSE))</f>
        <v>R-410A</v>
      </c>
      <c r="M91" s="2" t="str">
        <f>IF($H91="","",VLOOKUP($H91,Data!$C$6:$Y$29,5,FALSE))</f>
        <v>24/16</v>
      </c>
      <c r="N91" s="2">
        <f>IF($H91="","",VLOOKUP($H91,Data!$C$6:$Y$29,6,FALSE))</f>
        <v>46</v>
      </c>
      <c r="O91" s="2">
        <f>IF($H91="","",VLOOKUP($H91,Data!$C$6:$Y$29,7,FALSE))</f>
        <v>4.24</v>
      </c>
      <c r="P91" s="2">
        <f>IF($H91="","",VLOOKUP($H91,Data!$C$6:$Y$29,8,FALSE))</f>
        <v>4.1100000000000003</v>
      </c>
      <c r="Q91" s="2">
        <f>IF($H91="","",VLOOKUP($H91,Data!$C$6:$Y$29,9,FALSE))</f>
        <v>255</v>
      </c>
      <c r="R91" s="2" t="str">
        <f>IF($H91="","",VLOOKUP($H91,Data!$C$6:$Y$29,10,FALSE))</f>
        <v>MEDIUM</v>
      </c>
      <c r="S91" s="2">
        <f>IF($H91="","",VLOOKUP($H91,Data!$C$6:$Y$29,11,FALSE))</f>
        <v>1.77</v>
      </c>
      <c r="T91" s="2">
        <f>IF($H91="","",VLOOKUP($H91,Data!$C$6:$Y$29,12,FALSE))</f>
        <v>1.8</v>
      </c>
      <c r="U91" s="2">
        <f>IF($H91="","",VLOOKUP($H91,Data!$C$6:$Y$29,13,FALSE))</f>
        <v>3.49</v>
      </c>
      <c r="V91" s="2">
        <f>IF($H91="","",VLOOKUP($H91,Data!$C$6:$Y$29,14,FALSE))</f>
        <v>40</v>
      </c>
      <c r="W91" s="2" t="str">
        <f>IF($H91="","",VLOOKUP($H91,Data!$C$6:$Y$29,15,FALSE))</f>
        <v>220-240/1/50</v>
      </c>
      <c r="X91" s="2">
        <f>IF($H91="","",VLOOKUP($H91,Data!$C$6:$Y$29,16,FALSE))</f>
        <v>261</v>
      </c>
      <c r="Y91" s="2">
        <f>IF($H91="","",VLOOKUP($H91,Data!$C$6:$Y$29,17,FALSE))</f>
        <v>1200</v>
      </c>
      <c r="Z91" s="2">
        <f>IF($H91="","",VLOOKUP($H91,Data!$C$6:$Y$29,18,FALSE))</f>
        <v>448</v>
      </c>
      <c r="AA91" s="2">
        <f>IF($H91="","",VLOOKUP($H91,Data!$C$6:$Y$29,19,FALSE))</f>
        <v>753</v>
      </c>
      <c r="AB91" s="2">
        <f>IF($H91="","",VLOOKUP($H91,Data!$C$6:$Y$29,20,FALSE))</f>
        <v>855</v>
      </c>
      <c r="AC91" s="2">
        <f>IF($H91="","",VLOOKUP($H91,Data!$C$6:$Y$29,21,FALSE))</f>
        <v>328</v>
      </c>
      <c r="AD91" s="2">
        <f>IF($H91="","",VLOOKUP($H91,Data!$C$6:$Y$29,22,FALSE))</f>
        <v>26</v>
      </c>
      <c r="AE91" s="3">
        <f>IF($H91="","",VLOOKUP($H91,Data!$C$6:$Y$29,23,FALSE))</f>
        <v>47</v>
      </c>
      <c r="AG91" s="76" t="str">
        <f>IF($E91="","",IF($C91="DUCTED",VLOOKUP($E91,'DX-Data'!$D$5:$J$11,7,TRUE),IF($C91="DECORATIVE",VLOOKUP($E91,'DX-Data'!$D$19:$J$23,7,TRUE),IF($C91="PACKAGED",VLOOKUP($E91,'DX-Data'!$D$24:$J$30,7,TRUE),IF($C91="DUCTED-INV",VLOOKUP($E91,'DX-Data'!$D$12:$J$18,7,TRUE),"CHOOSE AC TYPE")))))</f>
        <v>FDMRN20AVKU - RR20AVKU</v>
      </c>
      <c r="AH91" s="76" t="str">
        <f>IF($F$9=TRUE,IF($C91="DUCTED",VLOOKUP($F91,'DX-Data'!$F$5:$J$11,5,TRUE),IF($C91="DECORATIVE",VLOOKUP($F91,'DX-Data'!$F$19:$J$23,5,TRUE),IF($C91="PACKAGED",VLOOKUP($F91,'DX-Data'!$F$24:$J$30,5,TRUE),IF($C91="DUCTED-INV",VLOOKUP($F91,'DX-Data'!$F$12:$J$18,5,TRUE),"CHOOSE AC TYPE")))),"NO SELECTION")</f>
        <v>FDMRN20AVKU - RR20AVKU</v>
      </c>
      <c r="AI91" s="76" t="str">
        <f>IF($G$9=TRUE,IF($C91="DUCTED",VLOOKUP($G91,'DX-Data'!$H$5:$J$11,3,TRUE),IF($C91="DECORATIVE",VLOOKUP($G91,'DX-Data'!$H$19:$J$23,3,TRUE),IF($C91="PACKAGED",VLOOKUP($G91,'DX-Data'!$H$24:$J$30,3,TRUE),IF($C91="DUCTED-INV",VLOOKUP($G91,'DX-Data'!$H$12:$J$18,3,TRUE),"CHOOSE AC TYPE")))),"NO SELECTION")</f>
        <v>NO SELECTION</v>
      </c>
      <c r="AJ91" s="77">
        <f>IF($E91="","",IF($C91="DUCTED",VLOOKUP($E91,'DX-Data'!$D$5:$J$11,6,TRUE),IF($C91="DECORATIVE",VLOOKUP($E91,'DX-Data'!$D$19:$J$23,6,TRUE),IF($C91="PACKAGED",VLOOKUP($E91,'DX-Data'!$D$24:$J$30,6,TRUE),IF($C91="DUCTED-INV",VLOOKUP($E91,'DX-Data'!$D$12:$J$18,6,TRUE),0)))))</f>
        <v>1</v>
      </c>
      <c r="AK91" s="77">
        <f>IF($F$9=TRUE,IF($C91="DUCTED",VLOOKUP($F91,'DX-Data'!$F$5:$J$11,4,TRUE),IF($C91="DECORATIVE",VLOOKUP($F91,'DX-Data'!$F$19:$J$23,4,TRUE),IF($C91="PACKAGED",VLOOKUP($F91,'DX-Data'!$F$24:$J$30,4,TRUE),IF($C91="DUCTED-INV",VLOOKUP($F91,'DX-Data'!$F$12:$J$18,4,TRUE),"CHOOSE AC TYPE")))),0)</f>
        <v>1</v>
      </c>
      <c r="AL91" s="77">
        <f>IF($G$9=TRUE,IF($C91="DUCTED",VLOOKUP($G91,'DX-Data'!$H$5:$J$11,2,TRUE),IF($C91="DECORATIVE",VLOOKUP($G91,'DX-Data'!$H$19:$J$23,2,TRUE),IF($C91="PACKAGED",VLOOKUP($G91,'DX-Data'!$H$24:$J$30,2,TRUE),IF($C91="DUCTED-INV",VLOOKUP($G91,'DX-Data'!$H$12:$J$18,2,TRUE),"CHOOSE AC TYPE")))),0)</f>
        <v>0</v>
      </c>
      <c r="AM91" s="77">
        <f t="shared" si="11"/>
        <v>1</v>
      </c>
      <c r="AN91" s="76" t="str">
        <f>IF(E91="","",VLOOKUP($AM91,'DX-Data'!$I$5:$J$31,2,FALSE))</f>
        <v>FDMRN20AVKU - RR20AVKU</v>
      </c>
      <c r="AO91" s="77">
        <f t="shared" si="12"/>
        <v>1</v>
      </c>
    </row>
    <row r="92" spans="2:41" x14ac:dyDescent="0.3">
      <c r="B92" s="71" t="s">
        <v>170</v>
      </c>
      <c r="C92" s="26" t="s">
        <v>38</v>
      </c>
      <c r="D92" s="27" t="s">
        <v>193</v>
      </c>
      <c r="E92" s="26">
        <v>3.7</v>
      </c>
      <c r="F92" s="26">
        <v>3</v>
      </c>
      <c r="G92" s="82">
        <v>243</v>
      </c>
      <c r="H92" s="74" t="str">
        <f t="shared" si="9"/>
        <v>FDMRN20AVKU - RR20AVKU</v>
      </c>
      <c r="I92" s="2">
        <f t="shared" si="10"/>
        <v>1</v>
      </c>
      <c r="J92" s="21">
        <f>IF($H92="","",VLOOKUP($H92,Data!$C$6:$Y$29,2,FALSE))</f>
        <v>1.5</v>
      </c>
      <c r="K92" s="2" t="str">
        <f>IF($H92="","",VLOOKUP($H92,Data!$C$6:$Y$29,3,FALSE))</f>
        <v>Non-Inverter</v>
      </c>
      <c r="L92" s="2" t="str">
        <f>IF($H92="","",VLOOKUP($H92,Data!$C$6:$Y$29,4,FALSE))</f>
        <v>R-410A</v>
      </c>
      <c r="M92" s="2" t="str">
        <f>IF($H92="","",VLOOKUP($H92,Data!$C$6:$Y$29,5,FALSE))</f>
        <v>24/16</v>
      </c>
      <c r="N92" s="2">
        <f>IF($H92="","",VLOOKUP($H92,Data!$C$6:$Y$29,6,FALSE))</f>
        <v>46</v>
      </c>
      <c r="O92" s="2">
        <f>IF($H92="","",VLOOKUP($H92,Data!$C$6:$Y$29,7,FALSE))</f>
        <v>4.24</v>
      </c>
      <c r="P92" s="2">
        <f>IF($H92="","",VLOOKUP($H92,Data!$C$6:$Y$29,8,FALSE))</f>
        <v>4.1100000000000003</v>
      </c>
      <c r="Q92" s="2">
        <f>IF($H92="","",VLOOKUP($H92,Data!$C$6:$Y$29,9,FALSE))</f>
        <v>255</v>
      </c>
      <c r="R92" s="2" t="str">
        <f>IF($H92="","",VLOOKUP($H92,Data!$C$6:$Y$29,10,FALSE))</f>
        <v>MEDIUM</v>
      </c>
      <c r="S92" s="2">
        <f>IF($H92="","",VLOOKUP($H92,Data!$C$6:$Y$29,11,FALSE))</f>
        <v>1.77</v>
      </c>
      <c r="T92" s="2">
        <f>IF($H92="","",VLOOKUP($H92,Data!$C$6:$Y$29,12,FALSE))</f>
        <v>1.8</v>
      </c>
      <c r="U92" s="2">
        <f>IF($H92="","",VLOOKUP($H92,Data!$C$6:$Y$29,13,FALSE))</f>
        <v>3.49</v>
      </c>
      <c r="V92" s="2">
        <f>IF($H92="","",VLOOKUP($H92,Data!$C$6:$Y$29,14,FALSE))</f>
        <v>40</v>
      </c>
      <c r="W92" s="2" t="str">
        <f>IF($H92="","",VLOOKUP($H92,Data!$C$6:$Y$29,15,FALSE))</f>
        <v>220-240/1/50</v>
      </c>
      <c r="X92" s="2">
        <f>IF($H92="","",VLOOKUP($H92,Data!$C$6:$Y$29,16,FALSE))</f>
        <v>261</v>
      </c>
      <c r="Y92" s="2">
        <f>IF($H92="","",VLOOKUP($H92,Data!$C$6:$Y$29,17,FALSE))</f>
        <v>1200</v>
      </c>
      <c r="Z92" s="2">
        <f>IF($H92="","",VLOOKUP($H92,Data!$C$6:$Y$29,18,FALSE))</f>
        <v>448</v>
      </c>
      <c r="AA92" s="2">
        <f>IF($H92="","",VLOOKUP($H92,Data!$C$6:$Y$29,19,FALSE))</f>
        <v>753</v>
      </c>
      <c r="AB92" s="2">
        <f>IF($H92="","",VLOOKUP($H92,Data!$C$6:$Y$29,20,FALSE))</f>
        <v>855</v>
      </c>
      <c r="AC92" s="2">
        <f>IF($H92="","",VLOOKUP($H92,Data!$C$6:$Y$29,21,FALSE))</f>
        <v>328</v>
      </c>
      <c r="AD92" s="2">
        <f>IF($H92="","",VLOOKUP($H92,Data!$C$6:$Y$29,22,FALSE))</f>
        <v>26</v>
      </c>
      <c r="AE92" s="3">
        <f>IF($H92="","",VLOOKUP($H92,Data!$C$6:$Y$29,23,FALSE))</f>
        <v>47</v>
      </c>
      <c r="AG92" s="76" t="str">
        <f>IF($E92="","",IF($C92="DUCTED",VLOOKUP($E92,'DX-Data'!$D$5:$J$11,7,TRUE),IF($C92="DECORATIVE",VLOOKUP($E92,'DX-Data'!$D$19:$J$23,7,TRUE),IF($C92="PACKAGED",VLOOKUP($E92,'DX-Data'!$D$24:$J$30,7,TRUE),IF($C92="DUCTED-INV",VLOOKUP($E92,'DX-Data'!$D$12:$J$18,7,TRUE),"CHOOSE AC TYPE")))))</f>
        <v>FDMRN20AVKU - RR20AVKU</v>
      </c>
      <c r="AH92" s="76" t="str">
        <f>IF($F$9=TRUE,IF($C92="DUCTED",VLOOKUP($F92,'DX-Data'!$F$5:$J$11,5,TRUE),IF($C92="DECORATIVE",VLOOKUP($F92,'DX-Data'!$F$19:$J$23,5,TRUE),IF($C92="PACKAGED",VLOOKUP($F92,'DX-Data'!$F$24:$J$30,5,TRUE),IF($C92="DUCTED-INV",VLOOKUP($F92,'DX-Data'!$F$12:$J$18,5,TRUE),"CHOOSE AC TYPE")))),"NO SELECTION")</f>
        <v>FDMRN20AVKU - RR20AVKU</v>
      </c>
      <c r="AI92" s="76" t="str">
        <f>IF($G$9=TRUE,IF($C92="DUCTED",VLOOKUP($G92,'DX-Data'!$H$5:$J$11,3,TRUE),IF($C92="DECORATIVE",VLOOKUP($G92,'DX-Data'!$H$19:$J$23,3,TRUE),IF($C92="PACKAGED",VLOOKUP($G92,'DX-Data'!$H$24:$J$30,3,TRUE),IF($C92="DUCTED-INV",VLOOKUP($G92,'DX-Data'!$H$12:$J$18,3,TRUE),"CHOOSE AC TYPE")))),"NO SELECTION")</f>
        <v>NO SELECTION</v>
      </c>
      <c r="AJ92" s="77">
        <f>IF($E92="","",IF($C92="DUCTED",VLOOKUP($E92,'DX-Data'!$D$5:$J$11,6,TRUE),IF($C92="DECORATIVE",VLOOKUP($E92,'DX-Data'!$D$19:$J$23,6,TRUE),IF($C92="PACKAGED",VLOOKUP($E92,'DX-Data'!$D$24:$J$30,6,TRUE),IF($C92="DUCTED-INV",VLOOKUP($E92,'DX-Data'!$D$12:$J$18,6,TRUE),0)))))</f>
        <v>1</v>
      </c>
      <c r="AK92" s="77">
        <f>IF($F$9=TRUE,IF($C92="DUCTED",VLOOKUP($F92,'DX-Data'!$F$5:$J$11,4,TRUE),IF($C92="DECORATIVE",VLOOKUP($F92,'DX-Data'!$F$19:$J$23,4,TRUE),IF($C92="PACKAGED",VLOOKUP($F92,'DX-Data'!$F$24:$J$30,4,TRUE),IF($C92="DUCTED-INV",VLOOKUP($F92,'DX-Data'!$F$12:$J$18,4,TRUE),"CHOOSE AC TYPE")))),0)</f>
        <v>1</v>
      </c>
      <c r="AL92" s="77">
        <f>IF($G$9=TRUE,IF($C92="DUCTED",VLOOKUP($G92,'DX-Data'!$H$5:$J$11,2,TRUE),IF($C92="DECORATIVE",VLOOKUP($G92,'DX-Data'!$H$19:$J$23,2,TRUE),IF($C92="PACKAGED",VLOOKUP($G92,'DX-Data'!$H$24:$J$30,2,TRUE),IF($C92="DUCTED-INV",VLOOKUP($G92,'DX-Data'!$H$12:$J$18,2,TRUE),"CHOOSE AC TYPE")))),0)</f>
        <v>0</v>
      </c>
      <c r="AM92" s="77">
        <f t="shared" si="11"/>
        <v>1</v>
      </c>
      <c r="AN92" s="76" t="str">
        <f>IF(E92="","",VLOOKUP($AM92,'DX-Data'!$I$5:$J$31,2,FALSE))</f>
        <v>FDMRN20AVKU - RR20AVKU</v>
      </c>
      <c r="AO92" s="77">
        <f t="shared" si="12"/>
        <v>1</v>
      </c>
    </row>
    <row r="93" spans="2:41" x14ac:dyDescent="0.3">
      <c r="B93" s="71" t="s">
        <v>171</v>
      </c>
      <c r="C93" s="26" t="s">
        <v>38</v>
      </c>
      <c r="D93" s="27" t="s">
        <v>194</v>
      </c>
      <c r="E93" s="26">
        <v>7.9</v>
      </c>
      <c r="F93" s="26">
        <v>6.6</v>
      </c>
      <c r="G93" s="82">
        <v>538</v>
      </c>
      <c r="H93" s="74" t="str">
        <f t="shared" si="9"/>
        <v>FDMRN36AVKU - RR36AVKU</v>
      </c>
      <c r="I93" s="2">
        <f t="shared" si="10"/>
        <v>1</v>
      </c>
      <c r="J93" s="21">
        <f>IF($H93="","",VLOOKUP($H93,Data!$C$6:$Y$29,2,FALSE))</f>
        <v>3</v>
      </c>
      <c r="K93" s="2" t="str">
        <f>IF($H93="","",VLOOKUP($H93,Data!$C$6:$Y$29,3,FALSE))</f>
        <v>Non-Inverter</v>
      </c>
      <c r="L93" s="2" t="str">
        <f>IF($H93="","",VLOOKUP($H93,Data!$C$6:$Y$29,4,FALSE))</f>
        <v>R-410A</v>
      </c>
      <c r="M93" s="2" t="str">
        <f>IF($H93="","",VLOOKUP($H93,Data!$C$6:$Y$29,5,FALSE))</f>
        <v>24/16</v>
      </c>
      <c r="N93" s="2">
        <f>IF($H93="","",VLOOKUP($H93,Data!$C$6:$Y$29,6,FALSE))</f>
        <v>46</v>
      </c>
      <c r="O93" s="2">
        <f>IF($H93="","",VLOOKUP($H93,Data!$C$6:$Y$29,7,FALSE))</f>
        <v>8.42</v>
      </c>
      <c r="P93" s="2">
        <f>IF($H93="","",VLOOKUP($H93,Data!$C$6:$Y$29,8,FALSE))</f>
        <v>8.18</v>
      </c>
      <c r="Q93" s="2">
        <f>IF($H93="","",VLOOKUP($H93,Data!$C$6:$Y$29,9,FALSE))</f>
        <v>650</v>
      </c>
      <c r="R93" s="2" t="str">
        <f>IF($H93="","",VLOOKUP($H93,Data!$C$6:$Y$29,10,FALSE))</f>
        <v>MEDIUM</v>
      </c>
      <c r="S93" s="2">
        <f>IF($H93="","",VLOOKUP($H93,Data!$C$6:$Y$29,11,FALSE))</f>
        <v>3.39</v>
      </c>
      <c r="T93" s="2">
        <f>IF($H93="","",VLOOKUP($H93,Data!$C$6:$Y$29,12,FALSE))</f>
        <v>3.55</v>
      </c>
      <c r="U93" s="2">
        <f>IF($H93="","",VLOOKUP($H93,Data!$C$6:$Y$29,13,FALSE))</f>
        <v>3.56</v>
      </c>
      <c r="V93" s="2">
        <f>IF($H93="","",VLOOKUP($H93,Data!$C$6:$Y$29,14,FALSE))</f>
        <v>50</v>
      </c>
      <c r="W93" s="2" t="str">
        <f>IF($H93="","",VLOOKUP($H93,Data!$C$6:$Y$29,15,FALSE))</f>
        <v>220-240/1/50</v>
      </c>
      <c r="X93" s="2">
        <f>IF($H93="","",VLOOKUP($H93,Data!$C$6:$Y$29,16,FALSE))</f>
        <v>378</v>
      </c>
      <c r="Y93" s="2">
        <f>IF($H93="","",VLOOKUP($H93,Data!$C$6:$Y$29,17,FALSE))</f>
        <v>1369</v>
      </c>
      <c r="Z93" s="2">
        <f>IF($H93="","",VLOOKUP($H93,Data!$C$6:$Y$29,18,FALSE))</f>
        <v>541</v>
      </c>
      <c r="AA93" s="2">
        <f>IF($H93="","",VLOOKUP($H93,Data!$C$6:$Y$29,19,FALSE))</f>
        <v>852</v>
      </c>
      <c r="AB93" s="2">
        <f>IF($H93="","",VLOOKUP($H93,Data!$C$6:$Y$29,20,FALSE))</f>
        <v>1030</v>
      </c>
      <c r="AC93" s="2">
        <f>IF($H93="","",VLOOKUP($H93,Data!$C$6:$Y$29,21,FALSE))</f>
        <v>400</v>
      </c>
      <c r="AD93" s="2">
        <f>IF($H93="","",VLOOKUP($H93,Data!$C$6:$Y$29,22,FALSE))</f>
        <v>50</v>
      </c>
      <c r="AE93" s="3">
        <f>IF($H93="","",VLOOKUP($H93,Data!$C$6:$Y$29,23,FALSE))</f>
        <v>92</v>
      </c>
      <c r="AG93" s="76" t="str">
        <f>IF($E93="","",IF($C93="DUCTED",VLOOKUP($E93,'DX-Data'!$D$5:$J$11,7,TRUE),IF($C93="DECORATIVE",VLOOKUP($E93,'DX-Data'!$D$19:$J$23,7,TRUE),IF($C93="PACKAGED",VLOOKUP($E93,'DX-Data'!$D$24:$J$30,7,TRUE),IF($C93="DUCTED-INV",VLOOKUP($E93,'DX-Data'!$D$12:$J$18,7,TRUE),"CHOOSE AC TYPE")))))</f>
        <v>FDMRN36AVKU - RR36AVKU</v>
      </c>
      <c r="AH93" s="76" t="str">
        <f>IF($F$9=TRUE,IF($C93="DUCTED",VLOOKUP($F93,'DX-Data'!$F$5:$J$11,5,TRUE),IF($C93="DECORATIVE",VLOOKUP($F93,'DX-Data'!$F$19:$J$23,5,TRUE),IF($C93="PACKAGED",VLOOKUP($F93,'DX-Data'!$F$24:$J$30,5,TRUE),IF($C93="DUCTED-INV",VLOOKUP($F93,'DX-Data'!$F$12:$J$18,5,TRUE),"CHOOSE AC TYPE")))),"NO SELECTION")</f>
        <v>FDMRN36AVKU - RR36AVKU</v>
      </c>
      <c r="AI93" s="76" t="str">
        <f>IF($G$9=TRUE,IF($C93="DUCTED",VLOOKUP($G93,'DX-Data'!$H$5:$J$11,3,TRUE),IF($C93="DECORATIVE",VLOOKUP($G93,'DX-Data'!$H$19:$J$23,3,TRUE),IF($C93="PACKAGED",VLOOKUP($G93,'DX-Data'!$H$24:$J$30,3,TRUE),IF($C93="DUCTED-INV",VLOOKUP($G93,'DX-Data'!$H$12:$J$18,3,TRUE),"CHOOSE AC TYPE")))),"NO SELECTION")</f>
        <v>NO SELECTION</v>
      </c>
      <c r="AJ93" s="77">
        <f>IF($E93="","",IF($C93="DUCTED",VLOOKUP($E93,'DX-Data'!$D$5:$J$11,6,TRUE),IF($C93="DECORATIVE",VLOOKUP($E93,'DX-Data'!$D$19:$J$23,6,TRUE),IF($C93="PACKAGED",VLOOKUP($E93,'DX-Data'!$D$24:$J$30,6,TRUE),IF($C93="DUCTED-INV",VLOOKUP($E93,'DX-Data'!$D$12:$J$18,6,TRUE),0)))))</f>
        <v>4</v>
      </c>
      <c r="AK93" s="77">
        <f>IF($F$9=TRUE,IF($C93="DUCTED",VLOOKUP($F93,'DX-Data'!$F$5:$J$11,4,TRUE),IF($C93="DECORATIVE",VLOOKUP($F93,'DX-Data'!$F$19:$J$23,4,TRUE),IF($C93="PACKAGED",VLOOKUP($F93,'DX-Data'!$F$24:$J$30,4,TRUE),IF($C93="DUCTED-INV",VLOOKUP($F93,'DX-Data'!$F$12:$J$18,4,TRUE),"CHOOSE AC TYPE")))),0)</f>
        <v>4</v>
      </c>
      <c r="AL93" s="77">
        <f>IF($G$9=TRUE,IF($C93="DUCTED",VLOOKUP($G93,'DX-Data'!$H$5:$J$11,2,TRUE),IF($C93="DECORATIVE",VLOOKUP($G93,'DX-Data'!$H$19:$J$23,2,TRUE),IF($C93="PACKAGED",VLOOKUP($G93,'DX-Data'!$H$24:$J$30,2,TRUE),IF($C93="DUCTED-INV",VLOOKUP($G93,'DX-Data'!$H$12:$J$18,2,TRUE),"CHOOSE AC TYPE")))),0)</f>
        <v>0</v>
      </c>
      <c r="AM93" s="77">
        <f t="shared" si="11"/>
        <v>4</v>
      </c>
      <c r="AN93" s="76" t="str">
        <f>IF(E93="","",VLOOKUP($AM93,'DX-Data'!$I$5:$J$31,2,FALSE))</f>
        <v>FDMRN36AVKU - RR36AVKU</v>
      </c>
      <c r="AO93" s="77">
        <f t="shared" si="12"/>
        <v>1</v>
      </c>
    </row>
    <row r="94" spans="2:41" x14ac:dyDescent="0.3">
      <c r="B94" s="71" t="s">
        <v>172</v>
      </c>
      <c r="C94" s="26" t="s">
        <v>38</v>
      </c>
      <c r="D94" s="27" t="s">
        <v>195</v>
      </c>
      <c r="E94" s="26">
        <v>6.9</v>
      </c>
      <c r="F94" s="26">
        <v>5.5</v>
      </c>
      <c r="G94" s="82">
        <v>451</v>
      </c>
      <c r="H94" s="74" t="str">
        <f t="shared" si="9"/>
        <v>FDMRN30AVKU - RR30AVKU</v>
      </c>
      <c r="I94" s="2">
        <f t="shared" si="10"/>
        <v>1</v>
      </c>
      <c r="J94" s="21">
        <f>IF($H94="","",VLOOKUP($H94,Data!$C$6:$Y$29,2,FALSE))</f>
        <v>2.5</v>
      </c>
      <c r="K94" s="2" t="str">
        <f>IF($H94="","",VLOOKUP($H94,Data!$C$6:$Y$29,3,FALSE))</f>
        <v>Non-Inverter</v>
      </c>
      <c r="L94" s="2" t="str">
        <f>IF($H94="","",VLOOKUP($H94,Data!$C$6:$Y$29,4,FALSE))</f>
        <v>R-410A</v>
      </c>
      <c r="M94" s="2" t="str">
        <f>IF($H94="","",VLOOKUP($H94,Data!$C$6:$Y$29,5,FALSE))</f>
        <v>24/16</v>
      </c>
      <c r="N94" s="2">
        <f>IF($H94="","",VLOOKUP($H94,Data!$C$6:$Y$29,6,FALSE))</f>
        <v>46</v>
      </c>
      <c r="O94" s="2">
        <f>IF($H94="","",VLOOKUP($H94,Data!$C$6:$Y$29,7,FALSE))</f>
        <v>6.93</v>
      </c>
      <c r="P94" s="2">
        <f>IF($H94="","",VLOOKUP($H94,Data!$C$6:$Y$29,8,FALSE))</f>
        <v>6.3</v>
      </c>
      <c r="Q94" s="2">
        <f>IF($H94="","",VLOOKUP($H94,Data!$C$6:$Y$29,9,FALSE))</f>
        <v>374</v>
      </c>
      <c r="R94" s="2" t="str">
        <f>IF($H94="","",VLOOKUP($H94,Data!$C$6:$Y$29,10,FALSE))</f>
        <v>MEDIUM</v>
      </c>
      <c r="S94" s="2">
        <f>IF($H94="","",VLOOKUP($H94,Data!$C$6:$Y$29,11,FALSE))</f>
        <v>2.87</v>
      </c>
      <c r="T94" s="2">
        <f>IF($H94="","",VLOOKUP($H94,Data!$C$6:$Y$29,12,FALSE))</f>
        <v>3.05</v>
      </c>
      <c r="U94" s="2">
        <f>IF($H94="","",VLOOKUP($H94,Data!$C$6:$Y$29,13,FALSE))</f>
        <v>3.49</v>
      </c>
      <c r="V94" s="2">
        <f>IF($H94="","",VLOOKUP($H94,Data!$C$6:$Y$29,14,FALSE))</f>
        <v>40</v>
      </c>
      <c r="W94" s="2" t="str">
        <f>IF($H94="","",VLOOKUP($H94,Data!$C$6:$Y$29,15,FALSE))</f>
        <v>220-240/1/50</v>
      </c>
      <c r="X94" s="2">
        <f>IF($H94="","",VLOOKUP($H94,Data!$C$6:$Y$29,16,FALSE))</f>
        <v>378</v>
      </c>
      <c r="Y94" s="2">
        <f>IF($H94="","",VLOOKUP($H94,Data!$C$6:$Y$29,17,FALSE))</f>
        <v>1115</v>
      </c>
      <c r="Z94" s="2">
        <f>IF($H94="","",VLOOKUP($H94,Data!$C$6:$Y$29,18,FALSE))</f>
        <v>541</v>
      </c>
      <c r="AA94" s="2">
        <f>IF($H94="","",VLOOKUP($H94,Data!$C$6:$Y$29,19,FALSE))</f>
        <v>852</v>
      </c>
      <c r="AB94" s="2">
        <f>IF($H94="","",VLOOKUP($H94,Data!$C$6:$Y$29,20,FALSE))</f>
        <v>1030</v>
      </c>
      <c r="AC94" s="2">
        <f>IF($H94="","",VLOOKUP($H94,Data!$C$6:$Y$29,21,FALSE))</f>
        <v>400</v>
      </c>
      <c r="AD94" s="2">
        <f>IF($H94="","",VLOOKUP($H94,Data!$C$6:$Y$29,22,FALSE))</f>
        <v>44</v>
      </c>
      <c r="AE94" s="3">
        <f>IF($H94="","",VLOOKUP($H94,Data!$C$6:$Y$29,23,FALSE))</f>
        <v>75</v>
      </c>
      <c r="AG94" s="76" t="str">
        <f>IF($E94="","",IF($C94="DUCTED",VLOOKUP($E94,'DX-Data'!$D$5:$J$11,7,TRUE),IF($C94="DECORATIVE",VLOOKUP($E94,'DX-Data'!$D$19:$J$23,7,TRUE),IF($C94="PACKAGED",VLOOKUP($E94,'DX-Data'!$D$24:$J$30,7,TRUE),IF($C94="DUCTED-INV",VLOOKUP($E94,'DX-Data'!$D$12:$J$18,7,TRUE),"CHOOSE AC TYPE")))))</f>
        <v>FDMRN30AVKU - RR30AVKU</v>
      </c>
      <c r="AH94" s="76" t="str">
        <f>IF($F$9=TRUE,IF($C94="DUCTED",VLOOKUP($F94,'DX-Data'!$F$5:$J$11,5,TRUE),IF($C94="DECORATIVE",VLOOKUP($F94,'DX-Data'!$F$19:$J$23,5,TRUE),IF($C94="PACKAGED",VLOOKUP($F94,'DX-Data'!$F$24:$J$30,5,TRUE),IF($C94="DUCTED-INV",VLOOKUP($F94,'DX-Data'!$F$12:$J$18,5,TRUE),"CHOOSE AC TYPE")))),"NO SELECTION")</f>
        <v>FDMRN30AVKU - RR30AVKU</v>
      </c>
      <c r="AI94" s="76" t="str">
        <f>IF($G$9=TRUE,IF($C94="DUCTED",VLOOKUP($G94,'DX-Data'!$H$5:$J$11,3,TRUE),IF($C94="DECORATIVE",VLOOKUP($G94,'DX-Data'!$H$19:$J$23,3,TRUE),IF($C94="PACKAGED",VLOOKUP($G94,'DX-Data'!$H$24:$J$30,3,TRUE),IF($C94="DUCTED-INV",VLOOKUP($G94,'DX-Data'!$H$12:$J$18,3,TRUE),"CHOOSE AC TYPE")))),"NO SELECTION")</f>
        <v>NO SELECTION</v>
      </c>
      <c r="AJ94" s="77">
        <f>IF($E94="","",IF($C94="DUCTED",VLOOKUP($E94,'DX-Data'!$D$5:$J$11,6,TRUE),IF($C94="DECORATIVE",VLOOKUP($E94,'DX-Data'!$D$19:$J$23,6,TRUE),IF($C94="PACKAGED",VLOOKUP($E94,'DX-Data'!$D$24:$J$30,6,TRUE),IF($C94="DUCTED-INV",VLOOKUP($E94,'DX-Data'!$D$12:$J$18,6,TRUE),0)))))</f>
        <v>3</v>
      </c>
      <c r="AK94" s="77">
        <f>IF($F$9=TRUE,IF($C94="DUCTED",VLOOKUP($F94,'DX-Data'!$F$5:$J$11,4,TRUE),IF($C94="DECORATIVE",VLOOKUP($F94,'DX-Data'!$F$19:$J$23,4,TRUE),IF($C94="PACKAGED",VLOOKUP($F94,'DX-Data'!$F$24:$J$30,4,TRUE),IF($C94="DUCTED-INV",VLOOKUP($F94,'DX-Data'!$F$12:$J$18,4,TRUE),"CHOOSE AC TYPE")))),0)</f>
        <v>3</v>
      </c>
      <c r="AL94" s="77">
        <f>IF($G$9=TRUE,IF($C94="DUCTED",VLOOKUP($G94,'DX-Data'!$H$5:$J$11,2,TRUE),IF($C94="DECORATIVE",VLOOKUP($G94,'DX-Data'!$H$19:$J$23,2,TRUE),IF($C94="PACKAGED",VLOOKUP($G94,'DX-Data'!$H$24:$J$30,2,TRUE),IF($C94="DUCTED-INV",VLOOKUP($G94,'DX-Data'!$H$12:$J$18,2,TRUE),"CHOOSE AC TYPE")))),0)</f>
        <v>0</v>
      </c>
      <c r="AM94" s="77">
        <f t="shared" si="11"/>
        <v>3</v>
      </c>
      <c r="AN94" s="76" t="str">
        <f>IF(E94="","",VLOOKUP($AM94,'DX-Data'!$I$5:$J$31,2,FALSE))</f>
        <v>FDMRN30AVKU - RR30AVKU</v>
      </c>
      <c r="AO94" s="77">
        <f t="shared" si="12"/>
        <v>1</v>
      </c>
    </row>
    <row r="95" spans="2:41" x14ac:dyDescent="0.3">
      <c r="B95" s="71" t="s">
        <v>173</v>
      </c>
      <c r="C95" s="26" t="s">
        <v>38</v>
      </c>
      <c r="D95" s="27" t="s">
        <v>196</v>
      </c>
      <c r="E95" s="26">
        <v>7.3</v>
      </c>
      <c r="F95" s="26">
        <v>5.9</v>
      </c>
      <c r="G95" s="82">
        <v>482</v>
      </c>
      <c r="H95" s="74" t="str">
        <f t="shared" si="9"/>
        <v>FDMRN36AVKU - RR36AVKU</v>
      </c>
      <c r="I95" s="2">
        <f t="shared" si="10"/>
        <v>1</v>
      </c>
      <c r="J95" s="21">
        <f>IF($H95="","",VLOOKUP($H95,Data!$C$6:$Y$29,2,FALSE))</f>
        <v>3</v>
      </c>
      <c r="K95" s="2" t="str">
        <f>IF($H95="","",VLOOKUP($H95,Data!$C$6:$Y$29,3,FALSE))</f>
        <v>Non-Inverter</v>
      </c>
      <c r="L95" s="2" t="str">
        <f>IF($H95="","",VLOOKUP($H95,Data!$C$6:$Y$29,4,FALSE))</f>
        <v>R-410A</v>
      </c>
      <c r="M95" s="2" t="str">
        <f>IF($H95="","",VLOOKUP($H95,Data!$C$6:$Y$29,5,FALSE))</f>
        <v>24/16</v>
      </c>
      <c r="N95" s="2">
        <f>IF($H95="","",VLOOKUP($H95,Data!$C$6:$Y$29,6,FALSE))</f>
        <v>46</v>
      </c>
      <c r="O95" s="2">
        <f>IF($H95="","",VLOOKUP($H95,Data!$C$6:$Y$29,7,FALSE))</f>
        <v>8.42</v>
      </c>
      <c r="P95" s="2">
        <f>IF($H95="","",VLOOKUP($H95,Data!$C$6:$Y$29,8,FALSE))</f>
        <v>8.18</v>
      </c>
      <c r="Q95" s="2">
        <f>IF($H95="","",VLOOKUP($H95,Data!$C$6:$Y$29,9,FALSE))</f>
        <v>650</v>
      </c>
      <c r="R95" s="2" t="str">
        <f>IF($H95="","",VLOOKUP($H95,Data!$C$6:$Y$29,10,FALSE))</f>
        <v>MEDIUM</v>
      </c>
      <c r="S95" s="2">
        <f>IF($H95="","",VLOOKUP($H95,Data!$C$6:$Y$29,11,FALSE))</f>
        <v>3.39</v>
      </c>
      <c r="T95" s="2">
        <f>IF($H95="","",VLOOKUP($H95,Data!$C$6:$Y$29,12,FALSE))</f>
        <v>3.55</v>
      </c>
      <c r="U95" s="2">
        <f>IF($H95="","",VLOOKUP($H95,Data!$C$6:$Y$29,13,FALSE))</f>
        <v>3.56</v>
      </c>
      <c r="V95" s="2">
        <f>IF($H95="","",VLOOKUP($H95,Data!$C$6:$Y$29,14,FALSE))</f>
        <v>50</v>
      </c>
      <c r="W95" s="2" t="str">
        <f>IF($H95="","",VLOOKUP($H95,Data!$C$6:$Y$29,15,FALSE))</f>
        <v>220-240/1/50</v>
      </c>
      <c r="X95" s="2">
        <f>IF($H95="","",VLOOKUP($H95,Data!$C$6:$Y$29,16,FALSE))</f>
        <v>378</v>
      </c>
      <c r="Y95" s="2">
        <f>IF($H95="","",VLOOKUP($H95,Data!$C$6:$Y$29,17,FALSE))</f>
        <v>1369</v>
      </c>
      <c r="Z95" s="2">
        <f>IF($H95="","",VLOOKUP($H95,Data!$C$6:$Y$29,18,FALSE))</f>
        <v>541</v>
      </c>
      <c r="AA95" s="2">
        <f>IF($H95="","",VLOOKUP($H95,Data!$C$6:$Y$29,19,FALSE))</f>
        <v>852</v>
      </c>
      <c r="AB95" s="2">
        <f>IF($H95="","",VLOOKUP($H95,Data!$C$6:$Y$29,20,FALSE))</f>
        <v>1030</v>
      </c>
      <c r="AC95" s="2">
        <f>IF($H95="","",VLOOKUP($H95,Data!$C$6:$Y$29,21,FALSE))</f>
        <v>400</v>
      </c>
      <c r="AD95" s="2">
        <f>IF($H95="","",VLOOKUP($H95,Data!$C$6:$Y$29,22,FALSE))</f>
        <v>50</v>
      </c>
      <c r="AE95" s="3">
        <f>IF($H95="","",VLOOKUP($H95,Data!$C$6:$Y$29,23,FALSE))</f>
        <v>92</v>
      </c>
      <c r="AG95" s="76" t="str">
        <f>IF($E95="","",IF($C95="DUCTED",VLOOKUP($E95,'DX-Data'!$D$5:$J$11,7,TRUE),IF($C95="DECORATIVE",VLOOKUP($E95,'DX-Data'!$D$19:$J$23,7,TRUE),IF($C95="PACKAGED",VLOOKUP($E95,'DX-Data'!$D$24:$J$30,7,TRUE),IF($C95="DUCTED-INV",VLOOKUP($E95,'DX-Data'!$D$12:$J$18,7,TRUE),"CHOOSE AC TYPE")))))</f>
        <v>FDMRN36AVKU - RR36AVKU</v>
      </c>
      <c r="AH95" s="76" t="str">
        <f>IF($F$9=TRUE,IF($C95="DUCTED",VLOOKUP($F95,'DX-Data'!$F$5:$J$11,5,TRUE),IF($C95="DECORATIVE",VLOOKUP($F95,'DX-Data'!$F$19:$J$23,5,TRUE),IF($C95="PACKAGED",VLOOKUP($F95,'DX-Data'!$F$24:$J$30,5,TRUE),IF($C95="DUCTED-INV",VLOOKUP($F95,'DX-Data'!$F$12:$J$18,5,TRUE),"CHOOSE AC TYPE")))),"NO SELECTION")</f>
        <v>FDMRN30AVKU - RR30AVKU</v>
      </c>
      <c r="AI95" s="76" t="str">
        <f>IF($G$9=TRUE,IF($C95="DUCTED",VLOOKUP($G95,'DX-Data'!$H$5:$J$11,3,TRUE),IF($C95="DECORATIVE",VLOOKUP($G95,'DX-Data'!$H$19:$J$23,3,TRUE),IF($C95="PACKAGED",VLOOKUP($G95,'DX-Data'!$H$24:$J$30,3,TRUE),IF($C95="DUCTED-INV",VLOOKUP($G95,'DX-Data'!$H$12:$J$18,3,TRUE),"CHOOSE AC TYPE")))),"NO SELECTION")</f>
        <v>NO SELECTION</v>
      </c>
      <c r="AJ95" s="77">
        <f>IF($E95="","",IF($C95="DUCTED",VLOOKUP($E95,'DX-Data'!$D$5:$J$11,6,TRUE),IF($C95="DECORATIVE",VLOOKUP($E95,'DX-Data'!$D$19:$J$23,6,TRUE),IF($C95="PACKAGED",VLOOKUP($E95,'DX-Data'!$D$24:$J$30,6,TRUE),IF($C95="DUCTED-INV",VLOOKUP($E95,'DX-Data'!$D$12:$J$18,6,TRUE),0)))))</f>
        <v>4</v>
      </c>
      <c r="AK95" s="77">
        <f>IF($F$9=TRUE,IF($C95="DUCTED",VLOOKUP($F95,'DX-Data'!$F$5:$J$11,4,TRUE),IF($C95="DECORATIVE",VLOOKUP($F95,'DX-Data'!$F$19:$J$23,4,TRUE),IF($C95="PACKAGED",VLOOKUP($F95,'DX-Data'!$F$24:$J$30,4,TRUE),IF($C95="DUCTED-INV",VLOOKUP($F95,'DX-Data'!$F$12:$J$18,4,TRUE),"CHOOSE AC TYPE")))),0)</f>
        <v>3</v>
      </c>
      <c r="AL95" s="77">
        <f>IF($G$9=TRUE,IF($C95="DUCTED",VLOOKUP($G95,'DX-Data'!$H$5:$J$11,2,TRUE),IF($C95="DECORATIVE",VLOOKUP($G95,'DX-Data'!$H$19:$J$23,2,TRUE),IF($C95="PACKAGED",VLOOKUP($G95,'DX-Data'!$H$24:$J$30,2,TRUE),IF($C95="DUCTED-INV",VLOOKUP($G95,'DX-Data'!$H$12:$J$18,2,TRUE),"CHOOSE AC TYPE")))),0)</f>
        <v>0</v>
      </c>
      <c r="AM95" s="77">
        <f t="shared" si="11"/>
        <v>4</v>
      </c>
      <c r="AN95" s="76" t="str">
        <f>IF(E95="","",VLOOKUP($AM95,'DX-Data'!$I$5:$J$31,2,FALSE))</f>
        <v>FDMRN36AVKU - RR36AVKU</v>
      </c>
      <c r="AO95" s="77">
        <f t="shared" si="12"/>
        <v>1</v>
      </c>
    </row>
    <row r="96" spans="2:41" x14ac:dyDescent="0.3">
      <c r="B96" s="71" t="s">
        <v>174</v>
      </c>
      <c r="C96" s="26" t="s">
        <v>38</v>
      </c>
      <c r="D96" s="27" t="s">
        <v>197</v>
      </c>
      <c r="E96" s="26">
        <v>7.3</v>
      </c>
      <c r="F96" s="26">
        <v>5.9</v>
      </c>
      <c r="G96" s="82">
        <v>482</v>
      </c>
      <c r="H96" s="74" t="str">
        <f t="shared" si="9"/>
        <v>FDMRN36AVKU - RR36AVKU</v>
      </c>
      <c r="I96" s="2">
        <f t="shared" si="10"/>
        <v>1</v>
      </c>
      <c r="J96" s="21">
        <f>IF($H96="","",VLOOKUP($H96,Data!$C$6:$Y$29,2,FALSE))</f>
        <v>3</v>
      </c>
      <c r="K96" s="2" t="str">
        <f>IF($H96="","",VLOOKUP($H96,Data!$C$6:$Y$29,3,FALSE))</f>
        <v>Non-Inverter</v>
      </c>
      <c r="L96" s="2" t="str">
        <f>IF($H96="","",VLOOKUP($H96,Data!$C$6:$Y$29,4,FALSE))</f>
        <v>R-410A</v>
      </c>
      <c r="M96" s="2" t="str">
        <f>IF($H96="","",VLOOKUP($H96,Data!$C$6:$Y$29,5,FALSE))</f>
        <v>24/16</v>
      </c>
      <c r="N96" s="2">
        <f>IF($H96="","",VLOOKUP($H96,Data!$C$6:$Y$29,6,FALSE))</f>
        <v>46</v>
      </c>
      <c r="O96" s="2">
        <f>IF($H96="","",VLOOKUP($H96,Data!$C$6:$Y$29,7,FALSE))</f>
        <v>8.42</v>
      </c>
      <c r="P96" s="2">
        <f>IF($H96="","",VLOOKUP($H96,Data!$C$6:$Y$29,8,FALSE))</f>
        <v>8.18</v>
      </c>
      <c r="Q96" s="2">
        <f>IF($H96="","",VLOOKUP($H96,Data!$C$6:$Y$29,9,FALSE))</f>
        <v>650</v>
      </c>
      <c r="R96" s="2" t="str">
        <f>IF($H96="","",VLOOKUP($H96,Data!$C$6:$Y$29,10,FALSE))</f>
        <v>MEDIUM</v>
      </c>
      <c r="S96" s="2">
        <f>IF($H96="","",VLOOKUP($H96,Data!$C$6:$Y$29,11,FALSE))</f>
        <v>3.39</v>
      </c>
      <c r="T96" s="2">
        <f>IF($H96="","",VLOOKUP($H96,Data!$C$6:$Y$29,12,FALSE))</f>
        <v>3.55</v>
      </c>
      <c r="U96" s="2">
        <f>IF($H96="","",VLOOKUP($H96,Data!$C$6:$Y$29,13,FALSE))</f>
        <v>3.56</v>
      </c>
      <c r="V96" s="2">
        <f>IF($H96="","",VLOOKUP($H96,Data!$C$6:$Y$29,14,FALSE))</f>
        <v>50</v>
      </c>
      <c r="W96" s="2" t="str">
        <f>IF($H96="","",VLOOKUP($H96,Data!$C$6:$Y$29,15,FALSE))</f>
        <v>220-240/1/50</v>
      </c>
      <c r="X96" s="2">
        <f>IF($H96="","",VLOOKUP($H96,Data!$C$6:$Y$29,16,FALSE))</f>
        <v>378</v>
      </c>
      <c r="Y96" s="2">
        <f>IF($H96="","",VLOOKUP($H96,Data!$C$6:$Y$29,17,FALSE))</f>
        <v>1369</v>
      </c>
      <c r="Z96" s="2">
        <f>IF($H96="","",VLOOKUP($H96,Data!$C$6:$Y$29,18,FALSE))</f>
        <v>541</v>
      </c>
      <c r="AA96" s="2">
        <f>IF($H96="","",VLOOKUP($H96,Data!$C$6:$Y$29,19,FALSE))</f>
        <v>852</v>
      </c>
      <c r="AB96" s="2">
        <f>IF($H96="","",VLOOKUP($H96,Data!$C$6:$Y$29,20,FALSE))</f>
        <v>1030</v>
      </c>
      <c r="AC96" s="2">
        <f>IF($H96="","",VLOOKUP($H96,Data!$C$6:$Y$29,21,FALSE))</f>
        <v>400</v>
      </c>
      <c r="AD96" s="2">
        <f>IF($H96="","",VLOOKUP($H96,Data!$C$6:$Y$29,22,FALSE))</f>
        <v>50</v>
      </c>
      <c r="AE96" s="3">
        <f>IF($H96="","",VLOOKUP($H96,Data!$C$6:$Y$29,23,FALSE))</f>
        <v>92</v>
      </c>
      <c r="AG96" s="76" t="str">
        <f>IF($E96="","",IF($C96="DUCTED",VLOOKUP($E96,'DX-Data'!$D$5:$J$11,7,TRUE),IF($C96="DECORATIVE",VLOOKUP($E96,'DX-Data'!$D$19:$J$23,7,TRUE),IF($C96="PACKAGED",VLOOKUP($E96,'DX-Data'!$D$24:$J$30,7,TRUE),IF($C96="DUCTED-INV",VLOOKUP($E96,'DX-Data'!$D$12:$J$18,7,TRUE),"CHOOSE AC TYPE")))))</f>
        <v>FDMRN36AVKU - RR36AVKU</v>
      </c>
      <c r="AH96" s="76" t="str">
        <f>IF($F$9=TRUE,IF($C96="DUCTED",VLOOKUP($F96,'DX-Data'!$F$5:$J$11,5,TRUE),IF($C96="DECORATIVE",VLOOKUP($F96,'DX-Data'!$F$19:$J$23,5,TRUE),IF($C96="PACKAGED",VLOOKUP($F96,'DX-Data'!$F$24:$J$30,5,TRUE),IF($C96="DUCTED-INV",VLOOKUP($F96,'DX-Data'!$F$12:$J$18,5,TRUE),"CHOOSE AC TYPE")))),"NO SELECTION")</f>
        <v>FDMRN30AVKU - RR30AVKU</v>
      </c>
      <c r="AI96" s="76" t="str">
        <f>IF($G$9=TRUE,IF($C96="DUCTED",VLOOKUP($G96,'DX-Data'!$H$5:$J$11,3,TRUE),IF($C96="DECORATIVE",VLOOKUP($G96,'DX-Data'!$H$19:$J$23,3,TRUE),IF($C96="PACKAGED",VLOOKUP($G96,'DX-Data'!$H$24:$J$30,3,TRUE),IF($C96="DUCTED-INV",VLOOKUP($G96,'DX-Data'!$H$12:$J$18,3,TRUE),"CHOOSE AC TYPE")))),"NO SELECTION")</f>
        <v>NO SELECTION</v>
      </c>
      <c r="AJ96" s="77">
        <f>IF($E96="","",IF($C96="DUCTED",VLOOKUP($E96,'DX-Data'!$D$5:$J$11,6,TRUE),IF($C96="DECORATIVE",VLOOKUP($E96,'DX-Data'!$D$19:$J$23,6,TRUE),IF($C96="PACKAGED",VLOOKUP($E96,'DX-Data'!$D$24:$J$30,6,TRUE),IF($C96="DUCTED-INV",VLOOKUP($E96,'DX-Data'!$D$12:$J$18,6,TRUE),0)))))</f>
        <v>4</v>
      </c>
      <c r="AK96" s="77">
        <f>IF($F$9=TRUE,IF($C96="DUCTED",VLOOKUP($F96,'DX-Data'!$F$5:$J$11,4,TRUE),IF($C96="DECORATIVE",VLOOKUP($F96,'DX-Data'!$F$19:$J$23,4,TRUE),IF($C96="PACKAGED",VLOOKUP($F96,'DX-Data'!$F$24:$J$30,4,TRUE),IF($C96="DUCTED-INV",VLOOKUP($F96,'DX-Data'!$F$12:$J$18,4,TRUE),"CHOOSE AC TYPE")))),0)</f>
        <v>3</v>
      </c>
      <c r="AL96" s="77">
        <f>IF($G$9=TRUE,IF($C96="DUCTED",VLOOKUP($G96,'DX-Data'!$H$5:$J$11,2,TRUE),IF($C96="DECORATIVE",VLOOKUP($G96,'DX-Data'!$H$19:$J$23,2,TRUE),IF($C96="PACKAGED",VLOOKUP($G96,'DX-Data'!$H$24:$J$30,2,TRUE),IF($C96="DUCTED-INV",VLOOKUP($G96,'DX-Data'!$H$12:$J$18,2,TRUE),"CHOOSE AC TYPE")))),0)</f>
        <v>0</v>
      </c>
      <c r="AM96" s="77">
        <f t="shared" si="11"/>
        <v>4</v>
      </c>
      <c r="AN96" s="76" t="str">
        <f>IF(E96="","",VLOOKUP($AM96,'DX-Data'!$I$5:$J$31,2,FALSE))</f>
        <v>FDMRN36AVKU - RR36AVKU</v>
      </c>
      <c r="AO96" s="77">
        <f t="shared" si="12"/>
        <v>1</v>
      </c>
    </row>
    <row r="97" spans="2:41" x14ac:dyDescent="0.3">
      <c r="B97" s="71" t="s">
        <v>175</v>
      </c>
      <c r="C97" s="26" t="s">
        <v>38</v>
      </c>
      <c r="D97" s="27" t="s">
        <v>198</v>
      </c>
      <c r="E97" s="26">
        <v>7.3</v>
      </c>
      <c r="F97" s="26">
        <v>5.9</v>
      </c>
      <c r="G97" s="82">
        <v>482</v>
      </c>
      <c r="H97" s="74" t="str">
        <f t="shared" si="9"/>
        <v>FDMRN36AVKU - RR36AVKU</v>
      </c>
      <c r="I97" s="2">
        <f t="shared" si="10"/>
        <v>1</v>
      </c>
      <c r="J97" s="21">
        <f>IF($H97="","",VLOOKUP($H97,Data!$C$6:$Y$29,2,FALSE))</f>
        <v>3</v>
      </c>
      <c r="K97" s="2" t="str">
        <f>IF($H97="","",VLOOKUP($H97,Data!$C$6:$Y$29,3,FALSE))</f>
        <v>Non-Inverter</v>
      </c>
      <c r="L97" s="2" t="str">
        <f>IF($H97="","",VLOOKUP($H97,Data!$C$6:$Y$29,4,FALSE))</f>
        <v>R-410A</v>
      </c>
      <c r="M97" s="2" t="str">
        <f>IF($H97="","",VLOOKUP($H97,Data!$C$6:$Y$29,5,FALSE))</f>
        <v>24/16</v>
      </c>
      <c r="N97" s="2">
        <f>IF($H97="","",VLOOKUP($H97,Data!$C$6:$Y$29,6,FALSE))</f>
        <v>46</v>
      </c>
      <c r="O97" s="2">
        <f>IF($H97="","",VLOOKUP($H97,Data!$C$6:$Y$29,7,FALSE))</f>
        <v>8.42</v>
      </c>
      <c r="P97" s="2">
        <f>IF($H97="","",VLOOKUP($H97,Data!$C$6:$Y$29,8,FALSE))</f>
        <v>8.18</v>
      </c>
      <c r="Q97" s="2">
        <f>IF($H97="","",VLOOKUP($H97,Data!$C$6:$Y$29,9,FALSE))</f>
        <v>650</v>
      </c>
      <c r="R97" s="2" t="str">
        <f>IF($H97="","",VLOOKUP($H97,Data!$C$6:$Y$29,10,FALSE))</f>
        <v>MEDIUM</v>
      </c>
      <c r="S97" s="2">
        <f>IF($H97="","",VLOOKUP($H97,Data!$C$6:$Y$29,11,FALSE))</f>
        <v>3.39</v>
      </c>
      <c r="T97" s="2">
        <f>IF($H97="","",VLOOKUP($H97,Data!$C$6:$Y$29,12,FALSE))</f>
        <v>3.55</v>
      </c>
      <c r="U97" s="2">
        <f>IF($H97="","",VLOOKUP($H97,Data!$C$6:$Y$29,13,FALSE))</f>
        <v>3.56</v>
      </c>
      <c r="V97" s="2">
        <f>IF($H97="","",VLOOKUP($H97,Data!$C$6:$Y$29,14,FALSE))</f>
        <v>50</v>
      </c>
      <c r="W97" s="2" t="str">
        <f>IF($H97="","",VLOOKUP($H97,Data!$C$6:$Y$29,15,FALSE))</f>
        <v>220-240/1/50</v>
      </c>
      <c r="X97" s="2">
        <f>IF($H97="","",VLOOKUP($H97,Data!$C$6:$Y$29,16,FALSE))</f>
        <v>378</v>
      </c>
      <c r="Y97" s="2">
        <f>IF($H97="","",VLOOKUP($H97,Data!$C$6:$Y$29,17,FALSE))</f>
        <v>1369</v>
      </c>
      <c r="Z97" s="2">
        <f>IF($H97="","",VLOOKUP($H97,Data!$C$6:$Y$29,18,FALSE))</f>
        <v>541</v>
      </c>
      <c r="AA97" s="2">
        <f>IF($H97="","",VLOOKUP($H97,Data!$C$6:$Y$29,19,FALSE))</f>
        <v>852</v>
      </c>
      <c r="AB97" s="2">
        <f>IF($H97="","",VLOOKUP($H97,Data!$C$6:$Y$29,20,FALSE))</f>
        <v>1030</v>
      </c>
      <c r="AC97" s="2">
        <f>IF($H97="","",VLOOKUP($H97,Data!$C$6:$Y$29,21,FALSE))</f>
        <v>400</v>
      </c>
      <c r="AD97" s="2">
        <f>IF($H97="","",VLOOKUP($H97,Data!$C$6:$Y$29,22,FALSE))</f>
        <v>50</v>
      </c>
      <c r="AE97" s="3">
        <f>IF($H97="","",VLOOKUP($H97,Data!$C$6:$Y$29,23,FALSE))</f>
        <v>92</v>
      </c>
      <c r="AG97" s="76" t="str">
        <f>IF($E97="","",IF($C97="DUCTED",VLOOKUP($E97,'DX-Data'!$D$5:$J$11,7,TRUE),IF($C97="DECORATIVE",VLOOKUP($E97,'DX-Data'!$D$19:$J$23,7,TRUE),IF($C97="PACKAGED",VLOOKUP($E97,'DX-Data'!$D$24:$J$30,7,TRUE),IF($C97="DUCTED-INV",VLOOKUP($E97,'DX-Data'!$D$12:$J$18,7,TRUE),"CHOOSE AC TYPE")))))</f>
        <v>FDMRN36AVKU - RR36AVKU</v>
      </c>
      <c r="AH97" s="76" t="str">
        <f>IF($F$9=TRUE,IF($C97="DUCTED",VLOOKUP($F97,'DX-Data'!$F$5:$J$11,5,TRUE),IF($C97="DECORATIVE",VLOOKUP($F97,'DX-Data'!$F$19:$J$23,5,TRUE),IF($C97="PACKAGED",VLOOKUP($F97,'DX-Data'!$F$24:$J$30,5,TRUE),IF($C97="DUCTED-INV",VLOOKUP($F97,'DX-Data'!$F$12:$J$18,5,TRUE),"CHOOSE AC TYPE")))),"NO SELECTION")</f>
        <v>FDMRN30AVKU - RR30AVKU</v>
      </c>
      <c r="AI97" s="76" t="str">
        <f>IF($G$9=TRUE,IF($C97="DUCTED",VLOOKUP($G97,'DX-Data'!$H$5:$J$11,3,TRUE),IF($C97="DECORATIVE",VLOOKUP($G97,'DX-Data'!$H$19:$J$23,3,TRUE),IF($C97="PACKAGED",VLOOKUP($G97,'DX-Data'!$H$24:$J$30,3,TRUE),IF($C97="DUCTED-INV",VLOOKUP($G97,'DX-Data'!$H$12:$J$18,3,TRUE),"CHOOSE AC TYPE")))),"NO SELECTION")</f>
        <v>NO SELECTION</v>
      </c>
      <c r="AJ97" s="77">
        <f>IF($E97="","",IF($C97="DUCTED",VLOOKUP($E97,'DX-Data'!$D$5:$J$11,6,TRUE),IF($C97="DECORATIVE",VLOOKUP($E97,'DX-Data'!$D$19:$J$23,6,TRUE),IF($C97="PACKAGED",VLOOKUP($E97,'DX-Data'!$D$24:$J$30,6,TRUE),IF($C97="DUCTED-INV",VLOOKUP($E97,'DX-Data'!$D$12:$J$18,6,TRUE),0)))))</f>
        <v>4</v>
      </c>
      <c r="AK97" s="77">
        <f>IF($F$9=TRUE,IF($C97="DUCTED",VLOOKUP($F97,'DX-Data'!$F$5:$J$11,4,TRUE),IF($C97="DECORATIVE",VLOOKUP($F97,'DX-Data'!$F$19:$J$23,4,TRUE),IF($C97="PACKAGED",VLOOKUP($F97,'DX-Data'!$F$24:$J$30,4,TRUE),IF($C97="DUCTED-INV",VLOOKUP($F97,'DX-Data'!$F$12:$J$18,4,TRUE),"CHOOSE AC TYPE")))),0)</f>
        <v>3</v>
      </c>
      <c r="AL97" s="77">
        <f>IF($G$9=TRUE,IF($C97="DUCTED",VLOOKUP($G97,'DX-Data'!$H$5:$J$11,2,TRUE),IF($C97="DECORATIVE",VLOOKUP($G97,'DX-Data'!$H$19:$J$23,2,TRUE),IF($C97="PACKAGED",VLOOKUP($G97,'DX-Data'!$H$24:$J$30,2,TRUE),IF($C97="DUCTED-INV",VLOOKUP($G97,'DX-Data'!$H$12:$J$18,2,TRUE),"CHOOSE AC TYPE")))),0)</f>
        <v>0</v>
      </c>
      <c r="AM97" s="77">
        <f t="shared" si="11"/>
        <v>4</v>
      </c>
      <c r="AN97" s="76" t="str">
        <f>IF(E97="","",VLOOKUP($AM97,'DX-Data'!$I$5:$J$31,2,FALSE))</f>
        <v>FDMRN36AVKU - RR36AVKU</v>
      </c>
      <c r="AO97" s="77">
        <f t="shared" si="12"/>
        <v>1</v>
      </c>
    </row>
    <row r="98" spans="2:41" x14ac:dyDescent="0.3">
      <c r="B98" s="71" t="s">
        <v>176</v>
      </c>
      <c r="C98" s="26" t="s">
        <v>38</v>
      </c>
      <c r="D98" s="27" t="s">
        <v>199</v>
      </c>
      <c r="E98" s="26">
        <v>7.8</v>
      </c>
      <c r="F98" s="26">
        <v>6.4</v>
      </c>
      <c r="G98" s="82">
        <v>529</v>
      </c>
      <c r="H98" s="74" t="str">
        <f t="shared" si="9"/>
        <v>FDMRN36AVKU - RR36AVKU</v>
      </c>
      <c r="I98" s="2">
        <f t="shared" si="10"/>
        <v>1</v>
      </c>
      <c r="J98" s="21">
        <f>IF($H98="","",VLOOKUP($H98,Data!$C$6:$Y$29,2,FALSE))</f>
        <v>3</v>
      </c>
      <c r="K98" s="2" t="str">
        <f>IF($H98="","",VLOOKUP($H98,Data!$C$6:$Y$29,3,FALSE))</f>
        <v>Non-Inverter</v>
      </c>
      <c r="L98" s="2" t="str">
        <f>IF($H98="","",VLOOKUP($H98,Data!$C$6:$Y$29,4,FALSE))</f>
        <v>R-410A</v>
      </c>
      <c r="M98" s="2" t="str">
        <f>IF($H98="","",VLOOKUP($H98,Data!$C$6:$Y$29,5,FALSE))</f>
        <v>24/16</v>
      </c>
      <c r="N98" s="2">
        <f>IF($H98="","",VLOOKUP($H98,Data!$C$6:$Y$29,6,FALSE))</f>
        <v>46</v>
      </c>
      <c r="O98" s="2">
        <f>IF($H98="","",VLOOKUP($H98,Data!$C$6:$Y$29,7,FALSE))</f>
        <v>8.42</v>
      </c>
      <c r="P98" s="2">
        <f>IF($H98="","",VLOOKUP($H98,Data!$C$6:$Y$29,8,FALSE))</f>
        <v>8.18</v>
      </c>
      <c r="Q98" s="2">
        <f>IF($H98="","",VLOOKUP($H98,Data!$C$6:$Y$29,9,FALSE))</f>
        <v>650</v>
      </c>
      <c r="R98" s="2" t="str">
        <f>IF($H98="","",VLOOKUP($H98,Data!$C$6:$Y$29,10,FALSE))</f>
        <v>MEDIUM</v>
      </c>
      <c r="S98" s="2">
        <f>IF($H98="","",VLOOKUP($H98,Data!$C$6:$Y$29,11,FALSE))</f>
        <v>3.39</v>
      </c>
      <c r="T98" s="2">
        <f>IF($H98="","",VLOOKUP($H98,Data!$C$6:$Y$29,12,FALSE))</f>
        <v>3.55</v>
      </c>
      <c r="U98" s="2">
        <f>IF($H98="","",VLOOKUP($H98,Data!$C$6:$Y$29,13,FALSE))</f>
        <v>3.56</v>
      </c>
      <c r="V98" s="2">
        <f>IF($H98="","",VLOOKUP($H98,Data!$C$6:$Y$29,14,FALSE))</f>
        <v>50</v>
      </c>
      <c r="W98" s="2" t="str">
        <f>IF($H98="","",VLOOKUP($H98,Data!$C$6:$Y$29,15,FALSE))</f>
        <v>220-240/1/50</v>
      </c>
      <c r="X98" s="2">
        <f>IF($H98="","",VLOOKUP($H98,Data!$C$6:$Y$29,16,FALSE))</f>
        <v>378</v>
      </c>
      <c r="Y98" s="2">
        <f>IF($H98="","",VLOOKUP($H98,Data!$C$6:$Y$29,17,FALSE))</f>
        <v>1369</v>
      </c>
      <c r="Z98" s="2">
        <f>IF($H98="","",VLOOKUP($H98,Data!$C$6:$Y$29,18,FALSE))</f>
        <v>541</v>
      </c>
      <c r="AA98" s="2">
        <f>IF($H98="","",VLOOKUP($H98,Data!$C$6:$Y$29,19,FALSE))</f>
        <v>852</v>
      </c>
      <c r="AB98" s="2">
        <f>IF($H98="","",VLOOKUP($H98,Data!$C$6:$Y$29,20,FALSE))</f>
        <v>1030</v>
      </c>
      <c r="AC98" s="2">
        <f>IF($H98="","",VLOOKUP($H98,Data!$C$6:$Y$29,21,FALSE))</f>
        <v>400</v>
      </c>
      <c r="AD98" s="2">
        <f>IF($H98="","",VLOOKUP($H98,Data!$C$6:$Y$29,22,FALSE))</f>
        <v>50</v>
      </c>
      <c r="AE98" s="3">
        <f>IF($H98="","",VLOOKUP($H98,Data!$C$6:$Y$29,23,FALSE))</f>
        <v>92</v>
      </c>
      <c r="AG98" s="76" t="str">
        <f>IF($E98="","",IF($C98="DUCTED",VLOOKUP($E98,'DX-Data'!$D$5:$J$11,7,TRUE),IF($C98="DECORATIVE",VLOOKUP($E98,'DX-Data'!$D$19:$J$23,7,TRUE),IF($C98="PACKAGED",VLOOKUP($E98,'DX-Data'!$D$24:$J$30,7,TRUE),IF($C98="DUCTED-INV",VLOOKUP($E98,'DX-Data'!$D$12:$J$18,7,TRUE),"CHOOSE AC TYPE")))))</f>
        <v>FDMRN36AVKU - RR36AVKU</v>
      </c>
      <c r="AH98" s="76" t="str">
        <f>IF($F$9=TRUE,IF($C98="DUCTED",VLOOKUP($F98,'DX-Data'!$F$5:$J$11,5,TRUE),IF($C98="DECORATIVE",VLOOKUP($F98,'DX-Data'!$F$19:$J$23,5,TRUE),IF($C98="PACKAGED",VLOOKUP($F98,'DX-Data'!$F$24:$J$30,5,TRUE),IF($C98="DUCTED-INV",VLOOKUP($F98,'DX-Data'!$F$12:$J$18,5,TRUE),"CHOOSE AC TYPE")))),"NO SELECTION")</f>
        <v>FDMRN36AVKU - RR36AVKU</v>
      </c>
      <c r="AI98" s="76" t="str">
        <f>IF($G$9=TRUE,IF($C98="DUCTED",VLOOKUP($G98,'DX-Data'!$H$5:$J$11,3,TRUE),IF($C98="DECORATIVE",VLOOKUP($G98,'DX-Data'!$H$19:$J$23,3,TRUE),IF($C98="PACKAGED",VLOOKUP($G98,'DX-Data'!$H$24:$J$30,3,TRUE),IF($C98="DUCTED-INV",VLOOKUP($G98,'DX-Data'!$H$12:$J$18,3,TRUE),"CHOOSE AC TYPE")))),"NO SELECTION")</f>
        <v>NO SELECTION</v>
      </c>
      <c r="AJ98" s="77">
        <f>IF($E98="","",IF($C98="DUCTED",VLOOKUP($E98,'DX-Data'!$D$5:$J$11,6,TRUE),IF($C98="DECORATIVE",VLOOKUP($E98,'DX-Data'!$D$19:$J$23,6,TRUE),IF($C98="PACKAGED",VLOOKUP($E98,'DX-Data'!$D$24:$J$30,6,TRUE),IF($C98="DUCTED-INV",VLOOKUP($E98,'DX-Data'!$D$12:$J$18,6,TRUE),0)))))</f>
        <v>4</v>
      </c>
      <c r="AK98" s="77">
        <f>IF($F$9=TRUE,IF($C98="DUCTED",VLOOKUP($F98,'DX-Data'!$F$5:$J$11,4,TRUE),IF($C98="DECORATIVE",VLOOKUP($F98,'DX-Data'!$F$19:$J$23,4,TRUE),IF($C98="PACKAGED",VLOOKUP($F98,'DX-Data'!$F$24:$J$30,4,TRUE),IF($C98="DUCTED-INV",VLOOKUP($F98,'DX-Data'!$F$12:$J$18,4,TRUE),"CHOOSE AC TYPE")))),0)</f>
        <v>4</v>
      </c>
      <c r="AL98" s="77">
        <f>IF($G$9=TRUE,IF($C98="DUCTED",VLOOKUP($G98,'DX-Data'!$H$5:$J$11,2,TRUE),IF($C98="DECORATIVE",VLOOKUP($G98,'DX-Data'!$H$19:$J$23,2,TRUE),IF($C98="PACKAGED",VLOOKUP($G98,'DX-Data'!$H$24:$J$30,2,TRUE),IF($C98="DUCTED-INV",VLOOKUP($G98,'DX-Data'!$H$12:$J$18,2,TRUE),"CHOOSE AC TYPE")))),0)</f>
        <v>0</v>
      </c>
      <c r="AM98" s="77">
        <f t="shared" si="11"/>
        <v>4</v>
      </c>
      <c r="AN98" s="76" t="str">
        <f>IF(E98="","",VLOOKUP($AM98,'DX-Data'!$I$5:$J$31,2,FALSE))</f>
        <v>FDMRN36AVKU - RR36AVKU</v>
      </c>
      <c r="AO98" s="77">
        <f t="shared" si="12"/>
        <v>1</v>
      </c>
    </row>
    <row r="99" spans="2:41" x14ac:dyDescent="0.3">
      <c r="B99" s="71" t="s">
        <v>177</v>
      </c>
      <c r="C99" s="26" t="s">
        <v>38</v>
      </c>
      <c r="D99" s="27" t="s">
        <v>200</v>
      </c>
      <c r="E99" s="26">
        <v>4.0999999999999996</v>
      </c>
      <c r="F99" s="26">
        <v>3.4</v>
      </c>
      <c r="G99" s="82">
        <v>278</v>
      </c>
      <c r="H99" s="74" t="str">
        <f t="shared" si="9"/>
        <v>FDMRN20AVKU - RR20AVKU</v>
      </c>
      <c r="I99" s="2">
        <f t="shared" si="10"/>
        <v>1</v>
      </c>
      <c r="J99" s="21">
        <f>IF($H99="","",VLOOKUP($H99,Data!$C$6:$Y$29,2,FALSE))</f>
        <v>1.5</v>
      </c>
      <c r="K99" s="2" t="str">
        <f>IF($H99="","",VLOOKUP($H99,Data!$C$6:$Y$29,3,FALSE))</f>
        <v>Non-Inverter</v>
      </c>
      <c r="L99" s="2" t="str">
        <f>IF($H99="","",VLOOKUP($H99,Data!$C$6:$Y$29,4,FALSE))</f>
        <v>R-410A</v>
      </c>
      <c r="M99" s="2" t="str">
        <f>IF($H99="","",VLOOKUP($H99,Data!$C$6:$Y$29,5,FALSE))</f>
        <v>24/16</v>
      </c>
      <c r="N99" s="2">
        <f>IF($H99="","",VLOOKUP($H99,Data!$C$6:$Y$29,6,FALSE))</f>
        <v>46</v>
      </c>
      <c r="O99" s="2">
        <f>IF($H99="","",VLOOKUP($H99,Data!$C$6:$Y$29,7,FALSE))</f>
        <v>4.24</v>
      </c>
      <c r="P99" s="2">
        <f>IF($H99="","",VLOOKUP($H99,Data!$C$6:$Y$29,8,FALSE))</f>
        <v>4.1100000000000003</v>
      </c>
      <c r="Q99" s="2">
        <f>IF($H99="","",VLOOKUP($H99,Data!$C$6:$Y$29,9,FALSE))</f>
        <v>255</v>
      </c>
      <c r="R99" s="2" t="str">
        <f>IF($H99="","",VLOOKUP($H99,Data!$C$6:$Y$29,10,FALSE))</f>
        <v>MEDIUM</v>
      </c>
      <c r="S99" s="2">
        <f>IF($H99="","",VLOOKUP($H99,Data!$C$6:$Y$29,11,FALSE))</f>
        <v>1.77</v>
      </c>
      <c r="T99" s="2">
        <f>IF($H99="","",VLOOKUP($H99,Data!$C$6:$Y$29,12,FALSE))</f>
        <v>1.8</v>
      </c>
      <c r="U99" s="2">
        <f>IF($H99="","",VLOOKUP($H99,Data!$C$6:$Y$29,13,FALSE))</f>
        <v>3.49</v>
      </c>
      <c r="V99" s="2">
        <f>IF($H99="","",VLOOKUP($H99,Data!$C$6:$Y$29,14,FALSE))</f>
        <v>40</v>
      </c>
      <c r="W99" s="2" t="str">
        <f>IF($H99="","",VLOOKUP($H99,Data!$C$6:$Y$29,15,FALSE))</f>
        <v>220-240/1/50</v>
      </c>
      <c r="X99" s="2">
        <f>IF($H99="","",VLOOKUP($H99,Data!$C$6:$Y$29,16,FALSE))</f>
        <v>261</v>
      </c>
      <c r="Y99" s="2">
        <f>IF($H99="","",VLOOKUP($H99,Data!$C$6:$Y$29,17,FALSE))</f>
        <v>1200</v>
      </c>
      <c r="Z99" s="2">
        <f>IF($H99="","",VLOOKUP($H99,Data!$C$6:$Y$29,18,FALSE))</f>
        <v>448</v>
      </c>
      <c r="AA99" s="2">
        <f>IF($H99="","",VLOOKUP($H99,Data!$C$6:$Y$29,19,FALSE))</f>
        <v>753</v>
      </c>
      <c r="AB99" s="2">
        <f>IF($H99="","",VLOOKUP($H99,Data!$C$6:$Y$29,20,FALSE))</f>
        <v>855</v>
      </c>
      <c r="AC99" s="2">
        <f>IF($H99="","",VLOOKUP($H99,Data!$C$6:$Y$29,21,FALSE))</f>
        <v>328</v>
      </c>
      <c r="AD99" s="2">
        <f>IF($H99="","",VLOOKUP($H99,Data!$C$6:$Y$29,22,FALSE))</f>
        <v>26</v>
      </c>
      <c r="AE99" s="3">
        <f>IF($H99="","",VLOOKUP($H99,Data!$C$6:$Y$29,23,FALSE))</f>
        <v>47</v>
      </c>
      <c r="AG99" s="76" t="str">
        <f>IF($E99="","",IF($C99="DUCTED",VLOOKUP($E99,'DX-Data'!$D$5:$J$11,7,TRUE),IF($C99="DECORATIVE",VLOOKUP($E99,'DX-Data'!$D$19:$J$23,7,TRUE),IF($C99="PACKAGED",VLOOKUP($E99,'DX-Data'!$D$24:$J$30,7,TRUE),IF($C99="DUCTED-INV",VLOOKUP($E99,'DX-Data'!$D$12:$J$18,7,TRUE),"CHOOSE AC TYPE")))))</f>
        <v>FDMRN20AVKU - RR20AVKU</v>
      </c>
      <c r="AH99" s="76" t="str">
        <f>IF($F$9=TRUE,IF($C99="DUCTED",VLOOKUP($F99,'DX-Data'!$F$5:$J$11,5,TRUE),IF($C99="DECORATIVE",VLOOKUP($F99,'DX-Data'!$F$19:$J$23,5,TRUE),IF($C99="PACKAGED",VLOOKUP($F99,'DX-Data'!$F$24:$J$30,5,TRUE),IF($C99="DUCTED-INV",VLOOKUP($F99,'DX-Data'!$F$12:$J$18,5,TRUE),"CHOOSE AC TYPE")))),"NO SELECTION")</f>
        <v>FDMRN20AVKU - RR20AVKU</v>
      </c>
      <c r="AI99" s="76" t="str">
        <f>IF($G$9=TRUE,IF($C99="DUCTED",VLOOKUP($G99,'DX-Data'!$H$5:$J$11,3,TRUE),IF($C99="DECORATIVE",VLOOKUP($G99,'DX-Data'!$H$19:$J$23,3,TRUE),IF($C99="PACKAGED",VLOOKUP($G99,'DX-Data'!$H$24:$J$30,3,TRUE),IF($C99="DUCTED-INV",VLOOKUP($G99,'DX-Data'!$H$12:$J$18,3,TRUE),"CHOOSE AC TYPE")))),"NO SELECTION")</f>
        <v>NO SELECTION</v>
      </c>
      <c r="AJ99" s="77">
        <f>IF($E99="","",IF($C99="DUCTED",VLOOKUP($E99,'DX-Data'!$D$5:$J$11,6,TRUE),IF($C99="DECORATIVE",VLOOKUP($E99,'DX-Data'!$D$19:$J$23,6,TRUE),IF($C99="PACKAGED",VLOOKUP($E99,'DX-Data'!$D$24:$J$30,6,TRUE),IF($C99="DUCTED-INV",VLOOKUP($E99,'DX-Data'!$D$12:$J$18,6,TRUE),0)))))</f>
        <v>1</v>
      </c>
      <c r="AK99" s="77">
        <f>IF($F$9=TRUE,IF($C99="DUCTED",VLOOKUP($F99,'DX-Data'!$F$5:$J$11,4,TRUE),IF($C99="DECORATIVE",VLOOKUP($F99,'DX-Data'!$F$19:$J$23,4,TRUE),IF($C99="PACKAGED",VLOOKUP($F99,'DX-Data'!$F$24:$J$30,4,TRUE),IF($C99="DUCTED-INV",VLOOKUP($F99,'DX-Data'!$F$12:$J$18,4,TRUE),"CHOOSE AC TYPE")))),0)</f>
        <v>1</v>
      </c>
      <c r="AL99" s="77">
        <f>IF($G$9=TRUE,IF($C99="DUCTED",VLOOKUP($G99,'DX-Data'!$H$5:$J$11,2,TRUE),IF($C99="DECORATIVE",VLOOKUP($G99,'DX-Data'!$H$19:$J$23,2,TRUE),IF($C99="PACKAGED",VLOOKUP($G99,'DX-Data'!$H$24:$J$30,2,TRUE),IF($C99="DUCTED-INV",VLOOKUP($G99,'DX-Data'!$H$12:$J$18,2,TRUE),"CHOOSE AC TYPE")))),0)</f>
        <v>0</v>
      </c>
      <c r="AM99" s="77">
        <f t="shared" si="11"/>
        <v>1</v>
      </c>
      <c r="AN99" s="76" t="str">
        <f>IF(E99="","",VLOOKUP($AM99,'DX-Data'!$I$5:$J$31,2,FALSE))</f>
        <v>FDMRN20AVKU - RR20AVKU</v>
      </c>
      <c r="AO99" s="77">
        <f t="shared" si="12"/>
        <v>1</v>
      </c>
    </row>
    <row r="100" spans="2:41" x14ac:dyDescent="0.3">
      <c r="B100" s="71" t="s">
        <v>178</v>
      </c>
      <c r="C100" s="26" t="s">
        <v>38</v>
      </c>
      <c r="D100" s="27" t="s">
        <v>215</v>
      </c>
      <c r="E100" s="26">
        <v>5.4</v>
      </c>
      <c r="F100" s="26">
        <v>4.3</v>
      </c>
      <c r="G100" s="82">
        <v>355</v>
      </c>
      <c r="H100" s="74" t="str">
        <f t="shared" si="9"/>
        <v>FDMRN25AVKU - RR25AVKU</v>
      </c>
      <c r="I100" s="2">
        <f t="shared" si="10"/>
        <v>1</v>
      </c>
      <c r="J100" s="21">
        <f>IF($H100="","",VLOOKUP($H100,Data!$C$6:$Y$29,2,FALSE))</f>
        <v>2</v>
      </c>
      <c r="K100" s="2" t="str">
        <f>IF($H100="","",VLOOKUP($H100,Data!$C$6:$Y$29,3,FALSE))</f>
        <v>Non-Inverter</v>
      </c>
      <c r="L100" s="2" t="str">
        <f>IF($H100="","",VLOOKUP($H100,Data!$C$6:$Y$29,4,FALSE))</f>
        <v>R-410A</v>
      </c>
      <c r="M100" s="2" t="str">
        <f>IF($H100="","",VLOOKUP($H100,Data!$C$6:$Y$29,5,FALSE))</f>
        <v>24/16</v>
      </c>
      <c r="N100" s="2">
        <f>IF($H100="","",VLOOKUP($H100,Data!$C$6:$Y$29,6,FALSE))</f>
        <v>46</v>
      </c>
      <c r="O100" s="2">
        <f>IF($H100="","",VLOOKUP($H100,Data!$C$6:$Y$29,7,FALSE))</f>
        <v>5.48</v>
      </c>
      <c r="P100" s="2">
        <f>IF($H100="","",VLOOKUP($H100,Data!$C$6:$Y$29,8,FALSE))</f>
        <v>5.05</v>
      </c>
      <c r="Q100" s="2">
        <f>IF($H100="","",VLOOKUP($H100,Data!$C$6:$Y$29,9,FALSE))</f>
        <v>303</v>
      </c>
      <c r="R100" s="2" t="str">
        <f>IF($H100="","",VLOOKUP($H100,Data!$C$6:$Y$29,10,FALSE))</f>
        <v>MEDIUM</v>
      </c>
      <c r="S100" s="2">
        <f>IF($H100="","",VLOOKUP($H100,Data!$C$6:$Y$29,11,FALSE))</f>
        <v>2.29</v>
      </c>
      <c r="T100" s="2">
        <f>IF($H100="","",VLOOKUP($H100,Data!$C$6:$Y$29,12,FALSE))</f>
        <v>2.35</v>
      </c>
      <c r="U100" s="2">
        <f>IF($H100="","",VLOOKUP($H100,Data!$C$6:$Y$29,13,FALSE))</f>
        <v>3.44</v>
      </c>
      <c r="V100" s="2">
        <f>IF($H100="","",VLOOKUP($H100,Data!$C$6:$Y$29,14,FALSE))</f>
        <v>40</v>
      </c>
      <c r="W100" s="2" t="str">
        <f>IF($H100="","",VLOOKUP($H100,Data!$C$6:$Y$29,15,FALSE))</f>
        <v>220-240/1/50</v>
      </c>
      <c r="X100" s="2">
        <f>IF($H100="","",VLOOKUP($H100,Data!$C$6:$Y$29,16,FALSE))</f>
        <v>378</v>
      </c>
      <c r="Y100" s="2">
        <f>IF($H100="","",VLOOKUP($H100,Data!$C$6:$Y$29,17,FALSE))</f>
        <v>1115</v>
      </c>
      <c r="Z100" s="2">
        <f>IF($H100="","",VLOOKUP($H100,Data!$C$6:$Y$29,18,FALSE))</f>
        <v>541</v>
      </c>
      <c r="AA100" s="2">
        <f>IF($H100="","",VLOOKUP($H100,Data!$C$6:$Y$29,19,FALSE))</f>
        <v>753</v>
      </c>
      <c r="AB100" s="2">
        <f>IF($H100="","",VLOOKUP($H100,Data!$C$6:$Y$29,20,FALSE))</f>
        <v>855</v>
      </c>
      <c r="AC100" s="2">
        <f>IF($H100="","",VLOOKUP($H100,Data!$C$6:$Y$29,21,FALSE))</f>
        <v>328</v>
      </c>
      <c r="AD100" s="2">
        <f>IF($H100="","",VLOOKUP($H100,Data!$C$6:$Y$29,22,FALSE))</f>
        <v>44</v>
      </c>
      <c r="AE100" s="3">
        <f>IF($H100="","",VLOOKUP($H100,Data!$C$6:$Y$29,23,FALSE))</f>
        <v>51</v>
      </c>
      <c r="AG100" s="76" t="str">
        <f>IF($E100="","",IF($C100="DUCTED",VLOOKUP($E100,'DX-Data'!$D$5:$J$11,7,TRUE),IF($C100="DECORATIVE",VLOOKUP($E100,'DX-Data'!$D$19:$J$23,7,TRUE),IF($C100="PACKAGED",VLOOKUP($E100,'DX-Data'!$D$24:$J$30,7,TRUE),IF($C100="DUCTED-INV",VLOOKUP($E100,'DX-Data'!$D$12:$J$18,7,TRUE),"CHOOSE AC TYPE")))))</f>
        <v>FDMRN25AVKU - RR25AVKU</v>
      </c>
      <c r="AH100" s="76" t="str">
        <f>IF($F$9=TRUE,IF($C100="DUCTED",VLOOKUP($F100,'DX-Data'!$F$5:$J$11,5,TRUE),IF($C100="DECORATIVE",VLOOKUP($F100,'DX-Data'!$F$19:$J$23,5,TRUE),IF($C100="PACKAGED",VLOOKUP($F100,'DX-Data'!$F$24:$J$30,5,TRUE),IF($C100="DUCTED-INV",VLOOKUP($F100,'DX-Data'!$F$12:$J$18,5,TRUE),"CHOOSE AC TYPE")))),"NO SELECTION")</f>
        <v>FDMRN25AVKU - RR25AVKU</v>
      </c>
      <c r="AI100" s="76" t="str">
        <f>IF($G$9=TRUE,IF($C100="DUCTED",VLOOKUP($G100,'DX-Data'!$H$5:$J$11,3,TRUE),IF($C100="DECORATIVE",VLOOKUP($G100,'DX-Data'!$H$19:$J$23,3,TRUE),IF($C100="PACKAGED",VLOOKUP($G100,'DX-Data'!$H$24:$J$30,3,TRUE),IF($C100="DUCTED-INV",VLOOKUP($G100,'DX-Data'!$H$12:$J$18,3,TRUE),"CHOOSE AC TYPE")))),"NO SELECTION")</f>
        <v>NO SELECTION</v>
      </c>
      <c r="AJ100" s="77">
        <f>IF($E100="","",IF($C100="DUCTED",VLOOKUP($E100,'DX-Data'!$D$5:$J$11,6,TRUE),IF($C100="DECORATIVE",VLOOKUP($E100,'DX-Data'!$D$19:$J$23,6,TRUE),IF($C100="PACKAGED",VLOOKUP($E100,'DX-Data'!$D$24:$J$30,6,TRUE),IF($C100="DUCTED-INV",VLOOKUP($E100,'DX-Data'!$D$12:$J$18,6,TRUE),0)))))</f>
        <v>2</v>
      </c>
      <c r="AK100" s="77">
        <f>IF($F$9=TRUE,IF($C100="DUCTED",VLOOKUP($F100,'DX-Data'!$F$5:$J$11,4,TRUE),IF($C100="DECORATIVE",VLOOKUP($F100,'DX-Data'!$F$19:$J$23,4,TRUE),IF($C100="PACKAGED",VLOOKUP($F100,'DX-Data'!$F$24:$J$30,4,TRUE),IF($C100="DUCTED-INV",VLOOKUP($F100,'DX-Data'!$F$12:$J$18,4,TRUE),"CHOOSE AC TYPE")))),0)</f>
        <v>2</v>
      </c>
      <c r="AL100" s="77">
        <f>IF($G$9=TRUE,IF($C100="DUCTED",VLOOKUP($G100,'DX-Data'!$H$5:$J$11,2,TRUE),IF($C100="DECORATIVE",VLOOKUP($G100,'DX-Data'!$H$19:$J$23,2,TRUE),IF($C100="PACKAGED",VLOOKUP($G100,'DX-Data'!$H$24:$J$30,2,TRUE),IF($C100="DUCTED-INV",VLOOKUP($G100,'DX-Data'!$H$12:$J$18,2,TRUE),"CHOOSE AC TYPE")))),0)</f>
        <v>0</v>
      </c>
      <c r="AM100" s="77">
        <f t="shared" si="11"/>
        <v>2</v>
      </c>
      <c r="AN100" s="76" t="str">
        <f>IF(E100="","",VLOOKUP($AM100,'DX-Data'!$I$5:$J$31,2,FALSE))</f>
        <v>FDMRN25AVKU - RR25AVKU</v>
      </c>
      <c r="AO100" s="77">
        <f t="shared" si="12"/>
        <v>1</v>
      </c>
    </row>
    <row r="101" spans="2:41" x14ac:dyDescent="0.3">
      <c r="B101" s="71" t="s">
        <v>179</v>
      </c>
      <c r="C101" s="26" t="s">
        <v>38</v>
      </c>
      <c r="D101" s="27" t="s">
        <v>216</v>
      </c>
      <c r="E101" s="26">
        <v>3.4</v>
      </c>
      <c r="F101" s="26">
        <v>3.1</v>
      </c>
      <c r="G101" s="82">
        <v>258</v>
      </c>
      <c r="H101" s="74" t="str">
        <f t="shared" si="9"/>
        <v>FDMRN20AVKU - RR20AVKU</v>
      </c>
      <c r="I101" s="2">
        <f t="shared" si="10"/>
        <v>1</v>
      </c>
      <c r="J101" s="21">
        <f>IF($H101="","",VLOOKUP($H101,Data!$C$6:$Y$29,2,FALSE))</f>
        <v>1.5</v>
      </c>
      <c r="K101" s="2" t="str">
        <f>IF($H101="","",VLOOKUP($H101,Data!$C$6:$Y$29,3,FALSE))</f>
        <v>Non-Inverter</v>
      </c>
      <c r="L101" s="2" t="str">
        <f>IF($H101="","",VLOOKUP($H101,Data!$C$6:$Y$29,4,FALSE))</f>
        <v>R-410A</v>
      </c>
      <c r="M101" s="2" t="str">
        <f>IF($H101="","",VLOOKUP($H101,Data!$C$6:$Y$29,5,FALSE))</f>
        <v>24/16</v>
      </c>
      <c r="N101" s="2">
        <f>IF($H101="","",VLOOKUP($H101,Data!$C$6:$Y$29,6,FALSE))</f>
        <v>46</v>
      </c>
      <c r="O101" s="2">
        <f>IF($H101="","",VLOOKUP($H101,Data!$C$6:$Y$29,7,FALSE))</f>
        <v>4.24</v>
      </c>
      <c r="P101" s="2">
        <f>IF($H101="","",VLOOKUP($H101,Data!$C$6:$Y$29,8,FALSE))</f>
        <v>4.1100000000000003</v>
      </c>
      <c r="Q101" s="2">
        <f>IF($H101="","",VLOOKUP($H101,Data!$C$6:$Y$29,9,FALSE))</f>
        <v>255</v>
      </c>
      <c r="R101" s="2" t="str">
        <f>IF($H101="","",VLOOKUP($H101,Data!$C$6:$Y$29,10,FALSE))</f>
        <v>MEDIUM</v>
      </c>
      <c r="S101" s="2">
        <f>IF($H101="","",VLOOKUP($H101,Data!$C$6:$Y$29,11,FALSE))</f>
        <v>1.77</v>
      </c>
      <c r="T101" s="2">
        <f>IF($H101="","",VLOOKUP($H101,Data!$C$6:$Y$29,12,FALSE))</f>
        <v>1.8</v>
      </c>
      <c r="U101" s="2">
        <f>IF($H101="","",VLOOKUP($H101,Data!$C$6:$Y$29,13,FALSE))</f>
        <v>3.49</v>
      </c>
      <c r="V101" s="2">
        <f>IF($H101="","",VLOOKUP($H101,Data!$C$6:$Y$29,14,FALSE))</f>
        <v>40</v>
      </c>
      <c r="W101" s="2" t="str">
        <f>IF($H101="","",VLOOKUP($H101,Data!$C$6:$Y$29,15,FALSE))</f>
        <v>220-240/1/50</v>
      </c>
      <c r="X101" s="2">
        <f>IF($H101="","",VLOOKUP($H101,Data!$C$6:$Y$29,16,FALSE))</f>
        <v>261</v>
      </c>
      <c r="Y101" s="2">
        <f>IF($H101="","",VLOOKUP($H101,Data!$C$6:$Y$29,17,FALSE))</f>
        <v>1200</v>
      </c>
      <c r="Z101" s="2">
        <f>IF($H101="","",VLOOKUP($H101,Data!$C$6:$Y$29,18,FALSE))</f>
        <v>448</v>
      </c>
      <c r="AA101" s="2">
        <f>IF($H101="","",VLOOKUP($H101,Data!$C$6:$Y$29,19,FALSE))</f>
        <v>753</v>
      </c>
      <c r="AB101" s="2">
        <f>IF($H101="","",VLOOKUP($H101,Data!$C$6:$Y$29,20,FALSE))</f>
        <v>855</v>
      </c>
      <c r="AC101" s="2">
        <f>IF($H101="","",VLOOKUP($H101,Data!$C$6:$Y$29,21,FALSE))</f>
        <v>328</v>
      </c>
      <c r="AD101" s="2">
        <f>IF($H101="","",VLOOKUP($H101,Data!$C$6:$Y$29,22,FALSE))</f>
        <v>26</v>
      </c>
      <c r="AE101" s="3">
        <f>IF($H101="","",VLOOKUP($H101,Data!$C$6:$Y$29,23,FALSE))</f>
        <v>47</v>
      </c>
      <c r="AG101" s="76" t="str">
        <f>IF($E101="","",IF($C101="DUCTED",VLOOKUP($E101,'DX-Data'!$D$5:$J$11,7,TRUE),IF($C101="DECORATIVE",VLOOKUP($E101,'DX-Data'!$D$19:$J$23,7,TRUE),IF($C101="PACKAGED",VLOOKUP($E101,'DX-Data'!$D$24:$J$30,7,TRUE),IF($C101="DUCTED-INV",VLOOKUP($E101,'DX-Data'!$D$12:$J$18,7,TRUE),"CHOOSE AC TYPE")))))</f>
        <v>FDMRN20AVKU - RR20AVKU</v>
      </c>
      <c r="AH101" s="76" t="str">
        <f>IF($F$9=TRUE,IF($C101="DUCTED",VLOOKUP($F101,'DX-Data'!$F$5:$J$11,5,TRUE),IF($C101="DECORATIVE",VLOOKUP($F101,'DX-Data'!$F$19:$J$23,5,TRUE),IF($C101="PACKAGED",VLOOKUP($F101,'DX-Data'!$F$24:$J$30,5,TRUE),IF($C101="DUCTED-INV",VLOOKUP($F101,'DX-Data'!$F$12:$J$18,5,TRUE),"CHOOSE AC TYPE")))),"NO SELECTION")</f>
        <v>FDMRN20AVKU - RR20AVKU</v>
      </c>
      <c r="AI101" s="76" t="str">
        <f>IF($G$9=TRUE,IF($C101="DUCTED",VLOOKUP($G101,'DX-Data'!$H$5:$J$11,3,TRUE),IF($C101="DECORATIVE",VLOOKUP($G101,'DX-Data'!$H$19:$J$23,3,TRUE),IF($C101="PACKAGED",VLOOKUP($G101,'DX-Data'!$H$24:$J$30,3,TRUE),IF($C101="DUCTED-INV",VLOOKUP($G101,'DX-Data'!$H$12:$J$18,3,TRUE),"CHOOSE AC TYPE")))),"NO SELECTION")</f>
        <v>NO SELECTION</v>
      </c>
      <c r="AJ101" s="77">
        <f>IF($E101="","",IF($C101="DUCTED",VLOOKUP($E101,'DX-Data'!$D$5:$J$11,6,TRUE),IF($C101="DECORATIVE",VLOOKUP($E101,'DX-Data'!$D$19:$J$23,6,TRUE),IF($C101="PACKAGED",VLOOKUP($E101,'DX-Data'!$D$24:$J$30,6,TRUE),IF($C101="DUCTED-INV",VLOOKUP($E101,'DX-Data'!$D$12:$J$18,6,TRUE),0)))))</f>
        <v>1</v>
      </c>
      <c r="AK101" s="77">
        <f>IF($F$9=TRUE,IF($C101="DUCTED",VLOOKUP($F101,'DX-Data'!$F$5:$J$11,4,TRUE),IF($C101="DECORATIVE",VLOOKUP($F101,'DX-Data'!$F$19:$J$23,4,TRUE),IF($C101="PACKAGED",VLOOKUP($F101,'DX-Data'!$F$24:$J$30,4,TRUE),IF($C101="DUCTED-INV",VLOOKUP($F101,'DX-Data'!$F$12:$J$18,4,TRUE),"CHOOSE AC TYPE")))),0)</f>
        <v>1</v>
      </c>
      <c r="AL101" s="77">
        <f>IF($G$9=TRUE,IF($C101="DUCTED",VLOOKUP($G101,'DX-Data'!$H$5:$J$11,2,TRUE),IF($C101="DECORATIVE",VLOOKUP($G101,'DX-Data'!$H$19:$J$23,2,TRUE),IF($C101="PACKAGED",VLOOKUP($G101,'DX-Data'!$H$24:$J$30,2,TRUE),IF($C101="DUCTED-INV",VLOOKUP($G101,'DX-Data'!$H$12:$J$18,2,TRUE),"CHOOSE AC TYPE")))),0)</f>
        <v>0</v>
      </c>
      <c r="AM101" s="77">
        <f t="shared" si="11"/>
        <v>1</v>
      </c>
      <c r="AN101" s="76" t="str">
        <f>IF(E101="","",VLOOKUP($AM101,'DX-Data'!$I$5:$J$31,2,FALSE))</f>
        <v>FDMRN20AVKU - RR20AVKU</v>
      </c>
      <c r="AO101" s="77">
        <f t="shared" si="12"/>
        <v>1</v>
      </c>
    </row>
    <row r="102" spans="2:41" x14ac:dyDescent="0.3">
      <c r="B102" s="71" t="s">
        <v>180</v>
      </c>
      <c r="C102" s="26" t="s">
        <v>38</v>
      </c>
      <c r="D102" s="27" t="s">
        <v>211</v>
      </c>
      <c r="E102" s="26">
        <v>12.9</v>
      </c>
      <c r="F102" s="26">
        <v>10.4</v>
      </c>
      <c r="G102" s="82">
        <v>839</v>
      </c>
      <c r="H102" s="74" t="s">
        <v>50</v>
      </c>
      <c r="I102" s="2">
        <v>2</v>
      </c>
      <c r="J102" s="21">
        <f>IF($H102="","",VLOOKUP($H102,Data!$C$6:$Y$29,2,FALSE))</f>
        <v>2.5</v>
      </c>
      <c r="K102" s="2" t="str">
        <f>IF($H102="","",VLOOKUP($H102,Data!$C$6:$Y$29,3,FALSE))</f>
        <v>Non-Inverter</v>
      </c>
      <c r="L102" s="2" t="str">
        <f>IF($H102="","",VLOOKUP($H102,Data!$C$6:$Y$29,4,FALSE))</f>
        <v>R-410A</v>
      </c>
      <c r="M102" s="2" t="str">
        <f>IF($H102="","",VLOOKUP($H102,Data!$C$6:$Y$29,5,FALSE))</f>
        <v>24/16</v>
      </c>
      <c r="N102" s="2">
        <f>IF($H102="","",VLOOKUP($H102,Data!$C$6:$Y$29,6,FALSE))</f>
        <v>46</v>
      </c>
      <c r="O102" s="2">
        <f>IF($H102="","",VLOOKUP($H102,Data!$C$6:$Y$29,7,FALSE))</f>
        <v>6.93</v>
      </c>
      <c r="P102" s="2">
        <f>IF($H102="","",VLOOKUP($H102,Data!$C$6:$Y$29,8,FALSE))</f>
        <v>6.3</v>
      </c>
      <c r="Q102" s="2">
        <f>IF($H102="","",VLOOKUP($H102,Data!$C$6:$Y$29,9,FALSE))</f>
        <v>374</v>
      </c>
      <c r="R102" s="2" t="str">
        <f>IF($H102="","",VLOOKUP($H102,Data!$C$6:$Y$29,10,FALSE))</f>
        <v>MEDIUM</v>
      </c>
      <c r="S102" s="2">
        <f>IF($H102="","",VLOOKUP($H102,Data!$C$6:$Y$29,11,FALSE))</f>
        <v>2.87</v>
      </c>
      <c r="T102" s="2">
        <f>IF($H102="","",VLOOKUP($H102,Data!$C$6:$Y$29,12,FALSE))</f>
        <v>3.05</v>
      </c>
      <c r="U102" s="2">
        <f>IF($H102="","",VLOOKUP($H102,Data!$C$6:$Y$29,13,FALSE))</f>
        <v>3.49</v>
      </c>
      <c r="V102" s="2">
        <f>IF($H102="","",VLOOKUP($H102,Data!$C$6:$Y$29,14,FALSE))</f>
        <v>40</v>
      </c>
      <c r="W102" s="2" t="str">
        <f>IF($H102="","",VLOOKUP($H102,Data!$C$6:$Y$29,15,FALSE))</f>
        <v>220-240/1/50</v>
      </c>
      <c r="X102" s="2">
        <f>IF($H102="","",VLOOKUP($H102,Data!$C$6:$Y$29,16,FALSE))</f>
        <v>378</v>
      </c>
      <c r="Y102" s="2">
        <f>IF($H102="","",VLOOKUP($H102,Data!$C$6:$Y$29,17,FALSE))</f>
        <v>1115</v>
      </c>
      <c r="Z102" s="2">
        <f>IF($H102="","",VLOOKUP($H102,Data!$C$6:$Y$29,18,FALSE))</f>
        <v>541</v>
      </c>
      <c r="AA102" s="2">
        <f>IF($H102="","",VLOOKUP($H102,Data!$C$6:$Y$29,19,FALSE))</f>
        <v>852</v>
      </c>
      <c r="AB102" s="2">
        <f>IF($H102="","",VLOOKUP($H102,Data!$C$6:$Y$29,20,FALSE))</f>
        <v>1030</v>
      </c>
      <c r="AC102" s="2">
        <f>IF($H102="","",VLOOKUP($H102,Data!$C$6:$Y$29,21,FALSE))</f>
        <v>400</v>
      </c>
      <c r="AD102" s="2">
        <f>IF($H102="","",VLOOKUP($H102,Data!$C$6:$Y$29,22,FALSE))</f>
        <v>44</v>
      </c>
      <c r="AE102" s="3">
        <f>IF($H102="","",VLOOKUP($H102,Data!$C$6:$Y$29,23,FALSE))</f>
        <v>75</v>
      </c>
      <c r="AG102" s="76" t="str">
        <f>IF($E102="","",IF($C102="DUCTED",VLOOKUP($E102,'DX-Data'!$D$5:$J$11,7,TRUE),IF($C102="DECORATIVE",VLOOKUP($E102,'DX-Data'!$D$19:$J$23,7,TRUE),IF($C102="PACKAGED",VLOOKUP($E102,'DX-Data'!$D$24:$J$30,7,TRUE),IF($C102="DUCTED-INV",VLOOKUP($E102,'DX-Data'!$D$12:$J$18,7,TRUE),"CHOOSE AC TYPE")))))</f>
        <v>FDMRN60AVKU - RR60AYKU</v>
      </c>
      <c r="AH102" s="76" t="str">
        <f>IF($F$9=TRUE,IF($C102="DUCTED",VLOOKUP($F102,'DX-Data'!$F$5:$J$11,5,TRUE),IF($C102="DECORATIVE",VLOOKUP($F102,'DX-Data'!$F$19:$J$23,5,TRUE),IF($C102="PACKAGED",VLOOKUP($F102,'DX-Data'!$F$24:$J$30,5,TRUE),IF($C102="DUCTED-INV",VLOOKUP($F102,'DX-Data'!$F$12:$J$18,5,TRUE),"CHOOSE AC TYPE")))),"NO SELECTION")</f>
        <v>FDMRN60AVKU - RR60AYKU</v>
      </c>
      <c r="AI102" s="76" t="str">
        <f>IF($G$9=TRUE,IF($C102="DUCTED",VLOOKUP($G102,'DX-Data'!$H$5:$J$11,3,TRUE),IF($C102="DECORATIVE",VLOOKUP($G102,'DX-Data'!$H$19:$J$23,3,TRUE),IF($C102="PACKAGED",VLOOKUP($G102,'DX-Data'!$H$24:$J$30,3,TRUE),IF($C102="DUCTED-INV",VLOOKUP($G102,'DX-Data'!$H$12:$J$18,3,TRUE),"CHOOSE AC TYPE")))),"NO SELECTION")</f>
        <v>NO SELECTION</v>
      </c>
      <c r="AJ102" s="77">
        <f>IF($E102="","",IF($C102="DUCTED",VLOOKUP($E102,'DX-Data'!$D$5:$J$11,6,TRUE),IF($C102="DECORATIVE",VLOOKUP($E102,'DX-Data'!$D$19:$J$23,6,TRUE),IF($C102="PACKAGED",VLOOKUP($E102,'DX-Data'!$D$24:$J$30,6,TRUE),IF($C102="DUCTED-INV",VLOOKUP($E102,'DX-Data'!$D$12:$J$18,6,TRUE),0)))))</f>
        <v>6</v>
      </c>
      <c r="AK102" s="77">
        <f>IF($F$9=TRUE,IF($C102="DUCTED",VLOOKUP($F102,'DX-Data'!$F$5:$J$11,4,TRUE),IF($C102="DECORATIVE",VLOOKUP($F102,'DX-Data'!$F$19:$J$23,4,TRUE),IF($C102="PACKAGED",VLOOKUP($F102,'DX-Data'!$F$24:$J$30,4,TRUE),IF($C102="DUCTED-INV",VLOOKUP($F102,'DX-Data'!$F$12:$J$18,4,TRUE),"CHOOSE AC TYPE")))),0)</f>
        <v>6</v>
      </c>
      <c r="AL102" s="77">
        <f>IF($G$9=TRUE,IF($C102="DUCTED",VLOOKUP($G102,'DX-Data'!$H$5:$J$11,2,TRUE),IF($C102="DECORATIVE",VLOOKUP($G102,'DX-Data'!$H$19:$J$23,2,TRUE),IF($C102="PACKAGED",VLOOKUP($G102,'DX-Data'!$H$24:$J$30,2,TRUE),IF($C102="DUCTED-INV",VLOOKUP($G102,'DX-Data'!$H$12:$J$18,2,TRUE),"CHOOSE AC TYPE")))),0)</f>
        <v>0</v>
      </c>
      <c r="AM102" s="77">
        <f t="shared" si="11"/>
        <v>6</v>
      </c>
      <c r="AN102" s="76" t="str">
        <f>IF(E102="","",VLOOKUP($AM102,'DX-Data'!$I$5:$J$31,2,FALSE))</f>
        <v>FDMRN60AVKU - RR60AYKU</v>
      </c>
      <c r="AO102" s="77">
        <f t="shared" si="12"/>
        <v>1</v>
      </c>
    </row>
    <row r="103" spans="2:41" x14ac:dyDescent="0.3">
      <c r="B103" s="84"/>
      <c r="C103" s="26"/>
      <c r="D103" s="27"/>
      <c r="E103" s="26"/>
      <c r="F103" s="26"/>
      <c r="G103" s="82"/>
      <c r="H103" s="74"/>
      <c r="I103" s="2"/>
      <c r="J103" s="2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3"/>
      <c r="AG103" s="76"/>
      <c r="AH103" s="76"/>
      <c r="AI103" s="76"/>
      <c r="AJ103" s="77"/>
      <c r="AK103" s="77"/>
      <c r="AL103" s="77"/>
      <c r="AM103" s="77"/>
      <c r="AN103" s="76"/>
      <c r="AO103" s="77"/>
    </row>
    <row r="104" spans="2:41" x14ac:dyDescent="0.3">
      <c r="B104" s="71" t="s">
        <v>181</v>
      </c>
      <c r="C104" s="26" t="s">
        <v>38</v>
      </c>
      <c r="D104" s="27" t="s">
        <v>217</v>
      </c>
      <c r="E104" s="26">
        <v>1.5</v>
      </c>
      <c r="F104" s="26">
        <v>1.4</v>
      </c>
      <c r="G104" s="82">
        <v>112</v>
      </c>
      <c r="H104" s="74" t="str">
        <f t="shared" si="9"/>
        <v>FDMRN20AVKU - RR20AVKU</v>
      </c>
      <c r="I104" s="2">
        <f t="shared" si="10"/>
        <v>1</v>
      </c>
      <c r="J104" s="21">
        <f>IF($H104="","",VLOOKUP($H104,Data!$C$6:$Y$29,2,FALSE))</f>
        <v>1.5</v>
      </c>
      <c r="K104" s="2" t="str">
        <f>IF($H104="","",VLOOKUP($H104,Data!$C$6:$Y$29,3,FALSE))</f>
        <v>Non-Inverter</v>
      </c>
      <c r="L104" s="2" t="str">
        <f>IF($H104="","",VLOOKUP($H104,Data!$C$6:$Y$29,4,FALSE))</f>
        <v>R-410A</v>
      </c>
      <c r="M104" s="2" t="str">
        <f>IF($H104="","",VLOOKUP($H104,Data!$C$6:$Y$29,5,FALSE))</f>
        <v>24/16</v>
      </c>
      <c r="N104" s="2">
        <f>IF($H104="","",VLOOKUP($H104,Data!$C$6:$Y$29,6,FALSE))</f>
        <v>46</v>
      </c>
      <c r="O104" s="2">
        <f>IF($H104="","",VLOOKUP($H104,Data!$C$6:$Y$29,7,FALSE))</f>
        <v>4.24</v>
      </c>
      <c r="P104" s="2">
        <f>IF($H104="","",VLOOKUP($H104,Data!$C$6:$Y$29,8,FALSE))</f>
        <v>4.1100000000000003</v>
      </c>
      <c r="Q104" s="2">
        <f>IF($H104="","",VLOOKUP($H104,Data!$C$6:$Y$29,9,FALSE))</f>
        <v>255</v>
      </c>
      <c r="R104" s="2" t="str">
        <f>IF($H104="","",VLOOKUP($H104,Data!$C$6:$Y$29,10,FALSE))</f>
        <v>MEDIUM</v>
      </c>
      <c r="S104" s="2">
        <f>IF($H104="","",VLOOKUP($H104,Data!$C$6:$Y$29,11,FALSE))</f>
        <v>1.77</v>
      </c>
      <c r="T104" s="2">
        <f>IF($H104="","",VLOOKUP($H104,Data!$C$6:$Y$29,12,FALSE))</f>
        <v>1.8</v>
      </c>
      <c r="U104" s="2">
        <f>IF($H104="","",VLOOKUP($H104,Data!$C$6:$Y$29,13,FALSE))</f>
        <v>3.49</v>
      </c>
      <c r="V104" s="2">
        <f>IF($H104="","",VLOOKUP($H104,Data!$C$6:$Y$29,14,FALSE))</f>
        <v>40</v>
      </c>
      <c r="W104" s="2" t="str">
        <f>IF($H104="","",VLOOKUP($H104,Data!$C$6:$Y$29,15,FALSE))</f>
        <v>220-240/1/50</v>
      </c>
      <c r="X104" s="2">
        <f>IF($H104="","",VLOOKUP($H104,Data!$C$6:$Y$29,16,FALSE))</f>
        <v>261</v>
      </c>
      <c r="Y104" s="2">
        <f>IF($H104="","",VLOOKUP($H104,Data!$C$6:$Y$29,17,FALSE))</f>
        <v>1200</v>
      </c>
      <c r="Z104" s="2">
        <f>IF($H104="","",VLOOKUP($H104,Data!$C$6:$Y$29,18,FALSE))</f>
        <v>448</v>
      </c>
      <c r="AA104" s="2">
        <f>IF($H104="","",VLOOKUP($H104,Data!$C$6:$Y$29,19,FALSE))</f>
        <v>753</v>
      </c>
      <c r="AB104" s="2">
        <f>IF($H104="","",VLOOKUP($H104,Data!$C$6:$Y$29,20,FALSE))</f>
        <v>855</v>
      </c>
      <c r="AC104" s="2">
        <f>IF($H104="","",VLOOKUP($H104,Data!$C$6:$Y$29,21,FALSE))</f>
        <v>328</v>
      </c>
      <c r="AD104" s="2">
        <f>IF($H104="","",VLOOKUP($H104,Data!$C$6:$Y$29,22,FALSE))</f>
        <v>26</v>
      </c>
      <c r="AE104" s="3">
        <f>IF($H104="","",VLOOKUP($H104,Data!$C$6:$Y$29,23,FALSE))</f>
        <v>47</v>
      </c>
      <c r="AG104" s="76" t="str">
        <f>IF($E104="","",IF($C104="DUCTED",VLOOKUP($E104,'DX-Data'!$D$5:$J$11,7,TRUE),IF($C104="DECORATIVE",VLOOKUP($E104,'DX-Data'!$D$19:$J$23,7,TRUE),IF($C104="PACKAGED",VLOOKUP($E104,'DX-Data'!$D$24:$J$30,7,TRUE),IF($C104="DUCTED-INV",VLOOKUP($E104,'DX-Data'!$D$12:$J$18,7,TRUE),"CHOOSE AC TYPE")))))</f>
        <v>FDMRN20AVKU - RR20AVKU</v>
      </c>
      <c r="AH104" s="76" t="str">
        <f>IF($F$9=TRUE,IF($C104="DUCTED",VLOOKUP($F104,'DX-Data'!$F$5:$J$11,5,TRUE),IF($C104="DECORATIVE",VLOOKUP($F104,'DX-Data'!$F$19:$J$23,5,TRUE),IF($C104="PACKAGED",VLOOKUP($F104,'DX-Data'!$F$24:$J$30,5,TRUE),IF($C104="DUCTED-INV",VLOOKUP($F104,'DX-Data'!$F$12:$J$18,5,TRUE),"CHOOSE AC TYPE")))),"NO SELECTION")</f>
        <v>FDMRN20AVKU - RR20AVKU</v>
      </c>
      <c r="AI104" s="76" t="str">
        <f>IF($G$9=TRUE,IF($C104="DUCTED",VLOOKUP($G104,'DX-Data'!$H$5:$J$11,3,TRUE),IF($C104="DECORATIVE",VLOOKUP($G104,'DX-Data'!$H$19:$J$23,3,TRUE),IF($C104="PACKAGED",VLOOKUP($G104,'DX-Data'!$H$24:$J$30,3,TRUE),IF($C104="DUCTED-INV",VLOOKUP($G104,'DX-Data'!$H$12:$J$18,3,TRUE),"CHOOSE AC TYPE")))),"NO SELECTION")</f>
        <v>NO SELECTION</v>
      </c>
      <c r="AJ104" s="77">
        <f>IF($E104="","",IF($C104="DUCTED",VLOOKUP($E104,'DX-Data'!$D$5:$J$11,6,TRUE),IF($C104="DECORATIVE",VLOOKUP($E104,'DX-Data'!$D$19:$J$23,6,TRUE),IF($C104="PACKAGED",VLOOKUP($E104,'DX-Data'!$D$24:$J$30,6,TRUE),IF($C104="DUCTED-INV",VLOOKUP($E104,'DX-Data'!$D$12:$J$18,6,TRUE),0)))))</f>
        <v>1</v>
      </c>
      <c r="AK104" s="77">
        <f>IF($F$9=TRUE,IF($C104="DUCTED",VLOOKUP($F104,'DX-Data'!$F$5:$J$11,4,TRUE),IF($C104="DECORATIVE",VLOOKUP($F104,'DX-Data'!$F$19:$J$23,4,TRUE),IF($C104="PACKAGED",VLOOKUP($F104,'DX-Data'!$F$24:$J$30,4,TRUE),IF($C104="DUCTED-INV",VLOOKUP($F104,'DX-Data'!$F$12:$J$18,4,TRUE),"CHOOSE AC TYPE")))),0)</f>
        <v>1</v>
      </c>
      <c r="AL104" s="77">
        <f>IF($G$9=TRUE,IF($C104="DUCTED",VLOOKUP($G104,'DX-Data'!$H$5:$J$11,2,TRUE),IF($C104="DECORATIVE",VLOOKUP($G104,'DX-Data'!$H$19:$J$23,2,TRUE),IF($C104="PACKAGED",VLOOKUP($G104,'DX-Data'!$H$24:$J$30,2,TRUE),IF($C104="DUCTED-INV",VLOOKUP($G104,'DX-Data'!$H$12:$J$18,2,TRUE),"CHOOSE AC TYPE")))),0)</f>
        <v>0</v>
      </c>
      <c r="AM104" s="77">
        <f t="shared" si="11"/>
        <v>1</v>
      </c>
      <c r="AN104" s="76" t="str">
        <f>IF(E104="","",VLOOKUP($AM104,'DX-Data'!$I$5:$J$31,2,FALSE))</f>
        <v>FDMRN20AVKU - RR20AVKU</v>
      </c>
      <c r="AO104" s="77">
        <f t="shared" si="12"/>
        <v>1</v>
      </c>
    </row>
    <row r="105" spans="2:41" x14ac:dyDescent="0.3">
      <c r="B105" s="71" t="s">
        <v>182</v>
      </c>
      <c r="C105" s="26" t="s">
        <v>38</v>
      </c>
      <c r="D105" s="27" t="s">
        <v>218</v>
      </c>
      <c r="E105" s="26">
        <v>1.4</v>
      </c>
      <c r="F105" s="26">
        <v>1.3</v>
      </c>
      <c r="G105" s="82">
        <v>109</v>
      </c>
      <c r="H105" s="74" t="str">
        <f t="shared" si="9"/>
        <v>FDMRN20AVKU - RR20AVKU</v>
      </c>
      <c r="I105" s="2">
        <f t="shared" si="10"/>
        <v>1</v>
      </c>
      <c r="J105" s="21">
        <f>IF($H105="","",VLOOKUP($H105,Data!$C$6:$Y$29,2,FALSE))</f>
        <v>1.5</v>
      </c>
      <c r="K105" s="2" t="str">
        <f>IF($H105="","",VLOOKUP($H105,Data!$C$6:$Y$29,3,FALSE))</f>
        <v>Non-Inverter</v>
      </c>
      <c r="L105" s="2" t="str">
        <f>IF($H105="","",VLOOKUP($H105,Data!$C$6:$Y$29,4,FALSE))</f>
        <v>R-410A</v>
      </c>
      <c r="M105" s="2" t="str">
        <f>IF($H105="","",VLOOKUP($H105,Data!$C$6:$Y$29,5,FALSE))</f>
        <v>24/16</v>
      </c>
      <c r="N105" s="2">
        <f>IF($H105="","",VLOOKUP($H105,Data!$C$6:$Y$29,6,FALSE))</f>
        <v>46</v>
      </c>
      <c r="O105" s="2">
        <f>IF($H105="","",VLOOKUP($H105,Data!$C$6:$Y$29,7,FALSE))</f>
        <v>4.24</v>
      </c>
      <c r="P105" s="2">
        <f>IF($H105="","",VLOOKUP($H105,Data!$C$6:$Y$29,8,FALSE))</f>
        <v>4.1100000000000003</v>
      </c>
      <c r="Q105" s="2">
        <f>IF($H105="","",VLOOKUP($H105,Data!$C$6:$Y$29,9,FALSE))</f>
        <v>255</v>
      </c>
      <c r="R105" s="2" t="str">
        <f>IF($H105="","",VLOOKUP($H105,Data!$C$6:$Y$29,10,FALSE))</f>
        <v>MEDIUM</v>
      </c>
      <c r="S105" s="2">
        <f>IF($H105="","",VLOOKUP($H105,Data!$C$6:$Y$29,11,FALSE))</f>
        <v>1.77</v>
      </c>
      <c r="T105" s="2">
        <f>IF($H105="","",VLOOKUP($H105,Data!$C$6:$Y$29,12,FALSE))</f>
        <v>1.8</v>
      </c>
      <c r="U105" s="2">
        <f>IF($H105="","",VLOOKUP($H105,Data!$C$6:$Y$29,13,FALSE))</f>
        <v>3.49</v>
      </c>
      <c r="V105" s="2">
        <f>IF($H105="","",VLOOKUP($H105,Data!$C$6:$Y$29,14,FALSE))</f>
        <v>40</v>
      </c>
      <c r="W105" s="2" t="str">
        <f>IF($H105="","",VLOOKUP($H105,Data!$C$6:$Y$29,15,FALSE))</f>
        <v>220-240/1/50</v>
      </c>
      <c r="X105" s="2">
        <f>IF($H105="","",VLOOKUP($H105,Data!$C$6:$Y$29,16,FALSE))</f>
        <v>261</v>
      </c>
      <c r="Y105" s="2">
        <f>IF($H105="","",VLOOKUP($H105,Data!$C$6:$Y$29,17,FALSE))</f>
        <v>1200</v>
      </c>
      <c r="Z105" s="2">
        <f>IF($H105="","",VLOOKUP($H105,Data!$C$6:$Y$29,18,FALSE))</f>
        <v>448</v>
      </c>
      <c r="AA105" s="2">
        <f>IF($H105="","",VLOOKUP($H105,Data!$C$6:$Y$29,19,FALSE))</f>
        <v>753</v>
      </c>
      <c r="AB105" s="2">
        <f>IF($H105="","",VLOOKUP($H105,Data!$C$6:$Y$29,20,FALSE))</f>
        <v>855</v>
      </c>
      <c r="AC105" s="2">
        <f>IF($H105="","",VLOOKUP($H105,Data!$C$6:$Y$29,21,FALSE))</f>
        <v>328</v>
      </c>
      <c r="AD105" s="2">
        <f>IF($H105="","",VLOOKUP($H105,Data!$C$6:$Y$29,22,FALSE))</f>
        <v>26</v>
      </c>
      <c r="AE105" s="3">
        <f>IF($H105="","",VLOOKUP($H105,Data!$C$6:$Y$29,23,FALSE))</f>
        <v>47</v>
      </c>
      <c r="AG105" s="76" t="str">
        <f>IF($E105="","",IF($C105="DUCTED",VLOOKUP($E105,'DX-Data'!$D$5:$J$11,7,TRUE),IF($C105="DECORATIVE",VLOOKUP($E105,'DX-Data'!$D$19:$J$23,7,TRUE),IF($C105="PACKAGED",VLOOKUP($E105,'DX-Data'!$D$24:$J$30,7,TRUE),IF($C105="DUCTED-INV",VLOOKUP($E105,'DX-Data'!$D$12:$J$18,7,TRUE),"CHOOSE AC TYPE")))))</f>
        <v>FDMRN20AVKU - RR20AVKU</v>
      </c>
      <c r="AH105" s="76" t="str">
        <f>IF($F$9=TRUE,IF($C105="DUCTED",VLOOKUP($F105,'DX-Data'!$F$5:$J$11,5,TRUE),IF($C105="DECORATIVE",VLOOKUP($F105,'DX-Data'!$F$19:$J$23,5,TRUE),IF($C105="PACKAGED",VLOOKUP($F105,'DX-Data'!$F$24:$J$30,5,TRUE),IF($C105="DUCTED-INV",VLOOKUP($F105,'DX-Data'!$F$12:$J$18,5,TRUE),"CHOOSE AC TYPE")))),"NO SELECTION")</f>
        <v>FDMRN20AVKU - RR20AVKU</v>
      </c>
      <c r="AI105" s="76" t="str">
        <f>IF($G$9=TRUE,IF($C105="DUCTED",VLOOKUP($G105,'DX-Data'!$H$5:$J$11,3,TRUE),IF($C105="DECORATIVE",VLOOKUP($G105,'DX-Data'!$H$19:$J$23,3,TRUE),IF($C105="PACKAGED",VLOOKUP($G105,'DX-Data'!$H$24:$J$30,3,TRUE),IF($C105="DUCTED-INV",VLOOKUP($G105,'DX-Data'!$H$12:$J$18,3,TRUE),"CHOOSE AC TYPE")))),"NO SELECTION")</f>
        <v>NO SELECTION</v>
      </c>
      <c r="AJ105" s="77">
        <f>IF($E105="","",IF($C105="DUCTED",VLOOKUP($E105,'DX-Data'!$D$5:$J$11,6,TRUE),IF($C105="DECORATIVE",VLOOKUP($E105,'DX-Data'!$D$19:$J$23,6,TRUE),IF($C105="PACKAGED",VLOOKUP($E105,'DX-Data'!$D$24:$J$30,6,TRUE),IF($C105="DUCTED-INV",VLOOKUP($E105,'DX-Data'!$D$12:$J$18,6,TRUE),0)))))</f>
        <v>1</v>
      </c>
      <c r="AK105" s="77">
        <f>IF($F$9=TRUE,IF($C105="DUCTED",VLOOKUP($F105,'DX-Data'!$F$5:$J$11,4,TRUE),IF($C105="DECORATIVE",VLOOKUP($F105,'DX-Data'!$F$19:$J$23,4,TRUE),IF($C105="PACKAGED",VLOOKUP($F105,'DX-Data'!$F$24:$J$30,4,TRUE),IF($C105="DUCTED-INV",VLOOKUP($F105,'DX-Data'!$F$12:$J$18,4,TRUE),"CHOOSE AC TYPE")))),0)</f>
        <v>1</v>
      </c>
      <c r="AL105" s="77">
        <f>IF($G$9=TRUE,IF($C105="DUCTED",VLOOKUP($G105,'DX-Data'!$H$5:$J$11,2,TRUE),IF($C105="DECORATIVE",VLOOKUP($G105,'DX-Data'!$H$19:$J$23,2,TRUE),IF($C105="PACKAGED",VLOOKUP($G105,'DX-Data'!$H$24:$J$30,2,TRUE),IF($C105="DUCTED-INV",VLOOKUP($G105,'DX-Data'!$H$12:$J$18,2,TRUE),"CHOOSE AC TYPE")))),0)</f>
        <v>0</v>
      </c>
      <c r="AM105" s="77">
        <f t="shared" si="11"/>
        <v>1</v>
      </c>
      <c r="AN105" s="76" t="str">
        <f>IF(E105="","",VLOOKUP($AM105,'DX-Data'!$I$5:$J$31,2,FALSE))</f>
        <v>FDMRN20AVKU - RR20AVKU</v>
      </c>
      <c r="AO105" s="77">
        <f t="shared" si="12"/>
        <v>1</v>
      </c>
    </row>
    <row r="106" spans="2:41" hidden="1" x14ac:dyDescent="0.3">
      <c r="B106" s="71"/>
      <c r="C106" s="26"/>
      <c r="D106" s="27"/>
      <c r="E106" s="26"/>
      <c r="F106" s="26"/>
      <c r="G106" s="82"/>
      <c r="H106" s="74" t="str">
        <f t="shared" si="9"/>
        <v/>
      </c>
      <c r="I106" s="2" t="str">
        <f t="shared" si="10"/>
        <v/>
      </c>
      <c r="J106" s="21" t="str">
        <f>IF($H106="","",VLOOKUP($H106,Data!$C$6:$Y$29,2,FALSE))</f>
        <v/>
      </c>
      <c r="K106" s="2" t="str">
        <f>IF($H106="","",VLOOKUP($H106,Data!$C$6:$Y$29,3,FALSE))</f>
        <v/>
      </c>
      <c r="L106" s="2" t="str">
        <f>IF($H106="","",VLOOKUP($H106,Data!$C$6:$Y$29,4,FALSE))</f>
        <v/>
      </c>
      <c r="M106" s="2" t="str">
        <f>IF($H106="","",VLOOKUP($H106,Data!$C$6:$Y$29,5,FALSE))</f>
        <v/>
      </c>
      <c r="N106" s="2" t="str">
        <f>IF($H106="","",VLOOKUP($H106,Data!$C$6:$Y$29,6,FALSE))</f>
        <v/>
      </c>
      <c r="O106" s="2" t="str">
        <f>IF($H106="","",VLOOKUP($H106,Data!$C$6:$Y$29,7,FALSE))</f>
        <v/>
      </c>
      <c r="P106" s="2" t="str">
        <f>IF($H106="","",VLOOKUP($H106,Data!$C$6:$Y$29,8,FALSE))</f>
        <v/>
      </c>
      <c r="Q106" s="2" t="str">
        <f>IF($H106="","",VLOOKUP($H106,Data!$C$6:$Y$29,9,FALSE))</f>
        <v/>
      </c>
      <c r="R106" s="2" t="str">
        <f>IF($H106="","",VLOOKUP($H106,Data!$C$6:$Y$29,10,FALSE))</f>
        <v/>
      </c>
      <c r="S106" s="2" t="str">
        <f>IF($H106="","",VLOOKUP($H106,Data!$C$6:$Y$29,11,FALSE))</f>
        <v/>
      </c>
      <c r="T106" s="2" t="str">
        <f>IF($H106="","",VLOOKUP($H106,Data!$C$6:$Y$29,12,FALSE))</f>
        <v/>
      </c>
      <c r="U106" s="2" t="str">
        <f>IF($H106="","",VLOOKUP($H106,Data!$C$6:$Y$29,13,FALSE))</f>
        <v/>
      </c>
      <c r="V106" s="2" t="str">
        <f>IF($H106="","",VLOOKUP($H106,Data!$C$6:$Y$29,14,FALSE))</f>
        <v/>
      </c>
      <c r="W106" s="2" t="str">
        <f>IF($H106="","",VLOOKUP($H106,Data!$C$6:$Y$29,15,FALSE))</f>
        <v/>
      </c>
      <c r="X106" s="2" t="str">
        <f>IF($H106="","",VLOOKUP($H106,Data!$C$6:$Y$29,16,FALSE))</f>
        <v/>
      </c>
      <c r="Y106" s="2" t="str">
        <f>IF($H106="","",VLOOKUP($H106,Data!$C$6:$Y$29,17,FALSE))</f>
        <v/>
      </c>
      <c r="Z106" s="2" t="str">
        <f>IF($H106="","",VLOOKUP($H106,Data!$C$6:$Y$29,18,FALSE))</f>
        <v/>
      </c>
      <c r="AA106" s="2" t="str">
        <f>IF($H106="","",VLOOKUP($H106,Data!$C$6:$Y$29,19,FALSE))</f>
        <v/>
      </c>
      <c r="AB106" s="2" t="str">
        <f>IF($H106="","",VLOOKUP($H106,Data!$C$6:$Y$29,20,FALSE))</f>
        <v/>
      </c>
      <c r="AC106" s="2" t="str">
        <f>IF($H106="","",VLOOKUP($H106,Data!$C$6:$Y$29,21,FALSE))</f>
        <v/>
      </c>
      <c r="AD106" s="2" t="str">
        <f>IF($H106="","",VLOOKUP($H106,Data!$C$6:$Y$29,22,FALSE))</f>
        <v/>
      </c>
      <c r="AE106" s="3" t="str">
        <f>IF($H106="","",VLOOKUP($H106,Data!$C$6:$Y$29,23,FALSE))</f>
        <v/>
      </c>
      <c r="AG106" s="76" t="str">
        <f>IF($E106="","",IF($C106="DUCTED",VLOOKUP($E106,'DX-Data'!$D$5:$J$11,7,TRUE),IF($C106="DECORATIVE",VLOOKUP($E106,'DX-Data'!$D$19:$J$23,7,TRUE),IF($C106="PACKAGED",VLOOKUP($E106,'DX-Data'!$D$24:$J$30,7,TRUE),IF($C106="DUCTED-INV",VLOOKUP($E106,'DX-Data'!$D$12:$J$18,7,TRUE),"CHOOSE AC TYPE")))))</f>
        <v/>
      </c>
      <c r="AH106" s="76" t="str">
        <f>IF($F$9=TRUE,IF($C106="DUCTED",VLOOKUP($F106,'DX-Data'!$F$5:$J$11,5,TRUE),IF($C106="DECORATIVE",VLOOKUP($F106,'DX-Data'!$F$19:$J$23,5,TRUE),IF($C106="PACKAGED",VLOOKUP($F106,'DX-Data'!$F$24:$J$30,5,TRUE),IF($C106="DUCTED-INV",VLOOKUP($F106,'DX-Data'!$F$12:$J$18,5,TRUE),"CHOOSE AC TYPE")))),"NO SELECTION")</f>
        <v>CHOOSE AC TYPE</v>
      </c>
      <c r="AI106" s="76" t="str">
        <f>IF($G$9=TRUE,IF($C106="DUCTED",VLOOKUP($G106,'DX-Data'!$H$5:$J$11,3,TRUE),IF($C106="DECORATIVE",VLOOKUP($G106,'DX-Data'!$H$19:$J$23,3,TRUE),IF($C106="PACKAGED",VLOOKUP($G106,'DX-Data'!$H$24:$J$30,3,TRUE),IF($C106="DUCTED-INV",VLOOKUP($G106,'DX-Data'!$H$12:$J$18,3,TRUE),"CHOOSE AC TYPE")))),"NO SELECTION")</f>
        <v>NO SELECTION</v>
      </c>
      <c r="AJ106" s="77" t="str">
        <f>IF($E106="","",IF($C106="DUCTED",VLOOKUP($E106,'DX-Data'!$D$5:$J$11,6,TRUE),IF($C106="DECORATIVE",VLOOKUP($E106,'DX-Data'!$D$19:$J$23,6,TRUE),IF($C106="PACKAGED",VLOOKUP($E106,'DX-Data'!$D$24:$J$30,6,TRUE),IF($C106="DUCTED-INV",VLOOKUP($E106,'DX-Data'!$D$12:$J$18,6,TRUE),0)))))</f>
        <v/>
      </c>
      <c r="AK106" s="77" t="str">
        <f>IF($F$9=TRUE,IF($C106="DUCTED",VLOOKUP($F106,'DX-Data'!$F$5:$J$11,4,TRUE),IF($C106="DECORATIVE",VLOOKUP($F106,'DX-Data'!$F$19:$J$23,4,TRUE),IF($C106="PACKAGED",VLOOKUP($F106,'DX-Data'!$F$24:$J$30,4,TRUE),IF($C106="DUCTED-INV",VLOOKUP($F106,'DX-Data'!$F$12:$J$18,4,TRUE),"CHOOSE AC TYPE")))),0)</f>
        <v>CHOOSE AC TYPE</v>
      </c>
      <c r="AL106" s="77">
        <f>IF($G$9=TRUE,IF($C106="DUCTED",VLOOKUP($G106,'DX-Data'!$H$5:$J$11,2,TRUE),IF($C106="DECORATIVE",VLOOKUP($G106,'DX-Data'!$H$19:$J$23,2,TRUE),IF($C106="PACKAGED",VLOOKUP($G106,'DX-Data'!$H$24:$J$30,2,TRUE),IF($C106="DUCTED-INV",VLOOKUP($G106,'DX-Data'!$H$12:$J$18,2,TRUE),"CHOOSE AC TYPE")))),0)</f>
        <v>0</v>
      </c>
      <c r="AM106" s="77">
        <f t="shared" si="11"/>
        <v>0</v>
      </c>
      <c r="AN106" s="76" t="str">
        <f>IF(E106="","",VLOOKUP($AM106,'DX-Data'!$I$5:$J$31,2,FALSE))</f>
        <v/>
      </c>
      <c r="AO106" s="77" t="str">
        <f t="shared" si="12"/>
        <v/>
      </c>
    </row>
    <row r="107" spans="2:41" hidden="1" x14ac:dyDescent="0.3">
      <c r="B107" s="71"/>
      <c r="C107" s="26"/>
      <c r="D107" s="27"/>
      <c r="E107" s="26"/>
      <c r="F107" s="26"/>
      <c r="G107" s="82"/>
      <c r="H107" s="74" t="str">
        <f t="shared" si="9"/>
        <v/>
      </c>
      <c r="I107" s="2" t="str">
        <f t="shared" si="10"/>
        <v/>
      </c>
      <c r="J107" s="21" t="str">
        <f>IF($H107="","",VLOOKUP($H107,Data!$C$6:$Y$29,2,FALSE))</f>
        <v/>
      </c>
      <c r="K107" s="2" t="str">
        <f>IF($H107="","",VLOOKUP($H107,Data!$C$6:$Y$29,3,FALSE))</f>
        <v/>
      </c>
      <c r="L107" s="2" t="str">
        <f>IF($H107="","",VLOOKUP($H107,Data!$C$6:$Y$29,4,FALSE))</f>
        <v/>
      </c>
      <c r="M107" s="2" t="str">
        <f>IF($H107="","",VLOOKUP($H107,Data!$C$6:$Y$29,5,FALSE))</f>
        <v/>
      </c>
      <c r="N107" s="2" t="str">
        <f>IF($H107="","",VLOOKUP($H107,Data!$C$6:$Y$29,6,FALSE))</f>
        <v/>
      </c>
      <c r="O107" s="2" t="str">
        <f>IF($H107="","",VLOOKUP($H107,Data!$C$6:$Y$29,7,FALSE))</f>
        <v/>
      </c>
      <c r="P107" s="2" t="str">
        <f>IF($H107="","",VLOOKUP($H107,Data!$C$6:$Y$29,8,FALSE))</f>
        <v/>
      </c>
      <c r="Q107" s="2" t="str">
        <f>IF($H107="","",VLOOKUP($H107,Data!$C$6:$Y$29,9,FALSE))</f>
        <v/>
      </c>
      <c r="R107" s="2" t="str">
        <f>IF($H107="","",VLOOKUP($H107,Data!$C$6:$Y$29,10,FALSE))</f>
        <v/>
      </c>
      <c r="S107" s="2" t="str">
        <f>IF($H107="","",VLOOKUP($H107,Data!$C$6:$Y$29,11,FALSE))</f>
        <v/>
      </c>
      <c r="T107" s="2" t="str">
        <f>IF($H107="","",VLOOKUP($H107,Data!$C$6:$Y$29,12,FALSE))</f>
        <v/>
      </c>
      <c r="U107" s="2" t="str">
        <f>IF($H107="","",VLOOKUP($H107,Data!$C$6:$Y$29,13,FALSE))</f>
        <v/>
      </c>
      <c r="V107" s="2" t="str">
        <f>IF($H107="","",VLOOKUP($H107,Data!$C$6:$Y$29,14,FALSE))</f>
        <v/>
      </c>
      <c r="W107" s="2" t="str">
        <f>IF($H107="","",VLOOKUP($H107,Data!$C$6:$Y$29,15,FALSE))</f>
        <v/>
      </c>
      <c r="X107" s="2" t="str">
        <f>IF($H107="","",VLOOKUP($H107,Data!$C$6:$Y$29,16,FALSE))</f>
        <v/>
      </c>
      <c r="Y107" s="2" t="str">
        <f>IF($H107="","",VLOOKUP($H107,Data!$C$6:$Y$29,17,FALSE))</f>
        <v/>
      </c>
      <c r="Z107" s="2" t="str">
        <f>IF($H107="","",VLOOKUP($H107,Data!$C$6:$Y$29,18,FALSE))</f>
        <v/>
      </c>
      <c r="AA107" s="2" t="str">
        <f>IF($H107="","",VLOOKUP($H107,Data!$C$6:$Y$29,19,FALSE))</f>
        <v/>
      </c>
      <c r="AB107" s="2" t="str">
        <f>IF($H107="","",VLOOKUP($H107,Data!$C$6:$Y$29,20,FALSE))</f>
        <v/>
      </c>
      <c r="AC107" s="2" t="str">
        <f>IF($H107="","",VLOOKUP($H107,Data!$C$6:$Y$29,21,FALSE))</f>
        <v/>
      </c>
      <c r="AD107" s="2" t="str">
        <f>IF($H107="","",VLOOKUP($H107,Data!$C$6:$Y$29,22,FALSE))</f>
        <v/>
      </c>
      <c r="AE107" s="3" t="str">
        <f>IF($H107="","",VLOOKUP($H107,Data!$C$6:$Y$29,23,FALSE))</f>
        <v/>
      </c>
      <c r="AG107" s="76" t="str">
        <f>IF($E107="","",IF($C107="DUCTED",VLOOKUP($E107,'DX-Data'!$D$5:$J$11,7,TRUE),IF($C107="DECORATIVE",VLOOKUP($E107,'DX-Data'!$D$19:$J$23,7,TRUE),IF($C107="PACKAGED",VLOOKUP($E107,'DX-Data'!$D$24:$J$30,7,TRUE),IF($C107="DUCTED-INV",VLOOKUP($E107,'DX-Data'!$D$12:$J$18,7,TRUE),"CHOOSE AC TYPE")))))</f>
        <v/>
      </c>
      <c r="AH107" s="76" t="str">
        <f>IF($F$9=TRUE,IF($C107="DUCTED",VLOOKUP($F107,'DX-Data'!$F$5:$J$11,5,TRUE),IF($C107="DECORATIVE",VLOOKUP($F107,'DX-Data'!$F$19:$J$23,5,TRUE),IF($C107="PACKAGED",VLOOKUP($F107,'DX-Data'!$F$24:$J$30,5,TRUE),IF($C107="DUCTED-INV",VLOOKUP($F107,'DX-Data'!$F$12:$J$18,5,TRUE),"CHOOSE AC TYPE")))),"NO SELECTION")</f>
        <v>CHOOSE AC TYPE</v>
      </c>
      <c r="AI107" s="76" t="str">
        <f>IF($G$9=TRUE,IF($C107="DUCTED",VLOOKUP($G107,'DX-Data'!$H$5:$J$11,3,TRUE),IF($C107="DECORATIVE",VLOOKUP($G107,'DX-Data'!$H$19:$J$23,3,TRUE),IF($C107="PACKAGED",VLOOKUP($G107,'DX-Data'!$H$24:$J$30,3,TRUE),IF($C107="DUCTED-INV",VLOOKUP($G107,'DX-Data'!$H$12:$J$18,3,TRUE),"CHOOSE AC TYPE")))),"NO SELECTION")</f>
        <v>NO SELECTION</v>
      </c>
      <c r="AJ107" s="77" t="str">
        <f>IF($E107="","",IF($C107="DUCTED",VLOOKUP($E107,'DX-Data'!$D$5:$J$11,6,TRUE),IF($C107="DECORATIVE",VLOOKUP($E107,'DX-Data'!$D$19:$J$23,6,TRUE),IF($C107="PACKAGED",VLOOKUP($E107,'DX-Data'!$D$24:$J$30,6,TRUE),IF($C107="DUCTED-INV",VLOOKUP($E107,'DX-Data'!$D$12:$J$18,6,TRUE),0)))))</f>
        <v/>
      </c>
      <c r="AK107" s="77" t="str">
        <f>IF($F$9=TRUE,IF($C107="DUCTED",VLOOKUP($F107,'DX-Data'!$F$5:$J$11,4,TRUE),IF($C107="DECORATIVE",VLOOKUP($F107,'DX-Data'!$F$19:$J$23,4,TRUE),IF($C107="PACKAGED",VLOOKUP($F107,'DX-Data'!$F$24:$J$30,4,TRUE),IF($C107="DUCTED-INV",VLOOKUP($F107,'DX-Data'!$F$12:$J$18,4,TRUE),"CHOOSE AC TYPE")))),0)</f>
        <v>CHOOSE AC TYPE</v>
      </c>
      <c r="AL107" s="77">
        <f>IF($G$9=TRUE,IF($C107="DUCTED",VLOOKUP($G107,'DX-Data'!$H$5:$J$11,2,TRUE),IF($C107="DECORATIVE",VLOOKUP($G107,'DX-Data'!$H$19:$J$23,2,TRUE),IF($C107="PACKAGED",VLOOKUP($G107,'DX-Data'!$H$24:$J$30,2,TRUE),IF($C107="DUCTED-INV",VLOOKUP($G107,'DX-Data'!$H$12:$J$18,2,TRUE),"CHOOSE AC TYPE")))),0)</f>
        <v>0</v>
      </c>
      <c r="AM107" s="77">
        <f t="shared" si="11"/>
        <v>0</v>
      </c>
      <c r="AN107" s="76" t="str">
        <f>IF(E107="","",VLOOKUP($AM107,'DX-Data'!$I$5:$J$31,2,FALSE))</f>
        <v/>
      </c>
      <c r="AO107" s="77" t="str">
        <f t="shared" si="12"/>
        <v/>
      </c>
    </row>
    <row r="108" spans="2:41" hidden="1" x14ac:dyDescent="0.3">
      <c r="B108" s="71"/>
      <c r="C108" s="26"/>
      <c r="D108" s="27"/>
      <c r="E108" s="26"/>
      <c r="F108" s="26"/>
      <c r="G108" s="82"/>
      <c r="H108" s="74" t="str">
        <f t="shared" si="9"/>
        <v/>
      </c>
      <c r="I108" s="2" t="str">
        <f t="shared" si="10"/>
        <v/>
      </c>
      <c r="J108" s="21" t="str">
        <f>IF($H108="","",VLOOKUP($H108,Data!$C$6:$Y$29,2,FALSE))</f>
        <v/>
      </c>
      <c r="K108" s="2" t="str">
        <f>IF($H108="","",VLOOKUP($H108,Data!$C$6:$Y$29,3,FALSE))</f>
        <v/>
      </c>
      <c r="L108" s="2" t="str">
        <f>IF($H108="","",VLOOKUP($H108,Data!$C$6:$Y$29,4,FALSE))</f>
        <v/>
      </c>
      <c r="M108" s="2" t="str">
        <f>IF($H108="","",VLOOKUP($H108,Data!$C$6:$Y$29,5,FALSE))</f>
        <v/>
      </c>
      <c r="N108" s="2" t="str">
        <f>IF($H108="","",VLOOKUP($H108,Data!$C$6:$Y$29,6,FALSE))</f>
        <v/>
      </c>
      <c r="O108" s="2" t="str">
        <f>IF($H108="","",VLOOKUP($H108,Data!$C$6:$Y$29,7,FALSE))</f>
        <v/>
      </c>
      <c r="P108" s="2" t="str">
        <f>IF($H108="","",VLOOKUP($H108,Data!$C$6:$Y$29,8,FALSE))</f>
        <v/>
      </c>
      <c r="Q108" s="2" t="str">
        <f>IF($H108="","",VLOOKUP($H108,Data!$C$6:$Y$29,9,FALSE))</f>
        <v/>
      </c>
      <c r="R108" s="2" t="str">
        <f>IF($H108="","",VLOOKUP($H108,Data!$C$6:$Y$29,10,FALSE))</f>
        <v/>
      </c>
      <c r="S108" s="2" t="str">
        <f>IF($H108="","",VLOOKUP($H108,Data!$C$6:$Y$29,11,FALSE))</f>
        <v/>
      </c>
      <c r="T108" s="2" t="str">
        <f>IF($H108="","",VLOOKUP($H108,Data!$C$6:$Y$29,12,FALSE))</f>
        <v/>
      </c>
      <c r="U108" s="2" t="str">
        <f>IF($H108="","",VLOOKUP($H108,Data!$C$6:$Y$29,13,FALSE))</f>
        <v/>
      </c>
      <c r="V108" s="2" t="str">
        <f>IF($H108="","",VLOOKUP($H108,Data!$C$6:$Y$29,14,FALSE))</f>
        <v/>
      </c>
      <c r="W108" s="2" t="str">
        <f>IF($H108="","",VLOOKUP($H108,Data!$C$6:$Y$29,15,FALSE))</f>
        <v/>
      </c>
      <c r="X108" s="2" t="str">
        <f>IF($H108="","",VLOOKUP($H108,Data!$C$6:$Y$29,16,FALSE))</f>
        <v/>
      </c>
      <c r="Y108" s="2" t="str">
        <f>IF($H108="","",VLOOKUP($H108,Data!$C$6:$Y$29,17,FALSE))</f>
        <v/>
      </c>
      <c r="Z108" s="2" t="str">
        <f>IF($H108="","",VLOOKUP($H108,Data!$C$6:$Y$29,18,FALSE))</f>
        <v/>
      </c>
      <c r="AA108" s="2" t="str">
        <f>IF($H108="","",VLOOKUP($H108,Data!$C$6:$Y$29,19,FALSE))</f>
        <v/>
      </c>
      <c r="AB108" s="2" t="str">
        <f>IF($H108="","",VLOOKUP($H108,Data!$C$6:$Y$29,20,FALSE))</f>
        <v/>
      </c>
      <c r="AC108" s="2" t="str">
        <f>IF($H108="","",VLOOKUP($H108,Data!$C$6:$Y$29,21,FALSE))</f>
        <v/>
      </c>
      <c r="AD108" s="2" t="str">
        <f>IF($H108="","",VLOOKUP($H108,Data!$C$6:$Y$29,22,FALSE))</f>
        <v/>
      </c>
      <c r="AE108" s="3" t="str">
        <f>IF($H108="","",VLOOKUP($H108,Data!$C$6:$Y$29,23,FALSE))</f>
        <v/>
      </c>
      <c r="AG108" s="76" t="str">
        <f>IF($E108="","",IF($C108="DUCTED",VLOOKUP($E108,'DX-Data'!$D$5:$J$11,7,TRUE),IF($C108="DECORATIVE",VLOOKUP($E108,'DX-Data'!$D$19:$J$23,7,TRUE),IF($C108="PACKAGED",VLOOKUP($E108,'DX-Data'!$D$24:$J$30,7,TRUE),IF($C108="DUCTED-INV",VLOOKUP($E108,'DX-Data'!$D$12:$J$18,7,TRUE),"CHOOSE AC TYPE")))))</f>
        <v/>
      </c>
      <c r="AH108" s="76" t="str">
        <f>IF($F$9=TRUE,IF($C108="DUCTED",VLOOKUP($F108,'DX-Data'!$F$5:$J$11,5,TRUE),IF($C108="DECORATIVE",VLOOKUP($F108,'DX-Data'!$F$19:$J$23,5,TRUE),IF($C108="PACKAGED",VLOOKUP($F108,'DX-Data'!$F$24:$J$30,5,TRUE),IF($C108="DUCTED-INV",VLOOKUP($F108,'DX-Data'!$F$12:$J$18,5,TRUE),"CHOOSE AC TYPE")))),"NO SELECTION")</f>
        <v>CHOOSE AC TYPE</v>
      </c>
      <c r="AI108" s="76" t="str">
        <f>IF($G$9=TRUE,IF($C108="DUCTED",VLOOKUP($G108,'DX-Data'!$H$5:$J$11,3,TRUE),IF($C108="DECORATIVE",VLOOKUP($G108,'DX-Data'!$H$19:$J$23,3,TRUE),IF($C108="PACKAGED",VLOOKUP($G108,'DX-Data'!$H$24:$J$30,3,TRUE),IF($C108="DUCTED-INV",VLOOKUP($G108,'DX-Data'!$H$12:$J$18,3,TRUE),"CHOOSE AC TYPE")))),"NO SELECTION")</f>
        <v>NO SELECTION</v>
      </c>
      <c r="AJ108" s="77" t="str">
        <f>IF($E108="","",IF($C108="DUCTED",VLOOKUP($E108,'DX-Data'!$D$5:$J$11,6,TRUE),IF($C108="DECORATIVE",VLOOKUP($E108,'DX-Data'!$D$19:$J$23,6,TRUE),IF($C108="PACKAGED",VLOOKUP($E108,'DX-Data'!$D$24:$J$30,6,TRUE),IF($C108="DUCTED-INV",VLOOKUP($E108,'DX-Data'!$D$12:$J$18,6,TRUE),0)))))</f>
        <v/>
      </c>
      <c r="AK108" s="77" t="str">
        <f>IF($F$9=TRUE,IF($C108="DUCTED",VLOOKUP($F108,'DX-Data'!$F$5:$J$11,4,TRUE),IF($C108="DECORATIVE",VLOOKUP($F108,'DX-Data'!$F$19:$J$23,4,TRUE),IF($C108="PACKAGED",VLOOKUP($F108,'DX-Data'!$F$24:$J$30,4,TRUE),IF($C108="DUCTED-INV",VLOOKUP($F108,'DX-Data'!$F$12:$J$18,4,TRUE),"CHOOSE AC TYPE")))),0)</f>
        <v>CHOOSE AC TYPE</v>
      </c>
      <c r="AL108" s="77">
        <f>IF($G$9=TRUE,IF($C108="DUCTED",VLOOKUP($G108,'DX-Data'!$H$5:$J$11,2,TRUE),IF($C108="DECORATIVE",VLOOKUP($G108,'DX-Data'!$H$19:$J$23,2,TRUE),IF($C108="PACKAGED",VLOOKUP($G108,'DX-Data'!$H$24:$J$30,2,TRUE),IF($C108="DUCTED-INV",VLOOKUP($G108,'DX-Data'!$H$12:$J$18,2,TRUE),"CHOOSE AC TYPE")))),0)</f>
        <v>0</v>
      </c>
      <c r="AM108" s="77">
        <f t="shared" si="11"/>
        <v>0</v>
      </c>
      <c r="AN108" s="76" t="str">
        <f>IF(E108="","",VLOOKUP($AM108,'DX-Data'!$I$5:$J$31,2,FALSE))</f>
        <v/>
      </c>
      <c r="AO108" s="77" t="str">
        <f t="shared" si="12"/>
        <v/>
      </c>
    </row>
    <row r="109" spans="2:41" hidden="1" x14ac:dyDescent="0.3">
      <c r="B109" s="71"/>
      <c r="C109" s="26"/>
      <c r="D109" s="27"/>
      <c r="E109" s="26"/>
      <c r="F109" s="26"/>
      <c r="G109" s="82"/>
      <c r="H109" s="74" t="str">
        <f t="shared" si="9"/>
        <v/>
      </c>
      <c r="I109" s="2" t="str">
        <f t="shared" si="10"/>
        <v/>
      </c>
      <c r="J109" s="21" t="str">
        <f>IF($H109="","",VLOOKUP($H109,Data!$C$6:$Y$29,2,FALSE))</f>
        <v/>
      </c>
      <c r="K109" s="2" t="str">
        <f>IF($H109="","",VLOOKUP($H109,Data!$C$6:$Y$29,3,FALSE))</f>
        <v/>
      </c>
      <c r="L109" s="2" t="str">
        <f>IF($H109="","",VLOOKUP($H109,Data!$C$6:$Y$29,4,FALSE))</f>
        <v/>
      </c>
      <c r="M109" s="2" t="str">
        <f>IF($H109="","",VLOOKUP($H109,Data!$C$6:$Y$29,5,FALSE))</f>
        <v/>
      </c>
      <c r="N109" s="2" t="str">
        <f>IF($H109="","",VLOOKUP($H109,Data!$C$6:$Y$29,6,FALSE))</f>
        <v/>
      </c>
      <c r="O109" s="2" t="str">
        <f>IF($H109="","",VLOOKUP($H109,Data!$C$6:$Y$29,7,FALSE))</f>
        <v/>
      </c>
      <c r="P109" s="2" t="str">
        <f>IF($H109="","",VLOOKUP($H109,Data!$C$6:$Y$29,8,FALSE))</f>
        <v/>
      </c>
      <c r="Q109" s="2" t="str">
        <f>IF($H109="","",VLOOKUP($H109,Data!$C$6:$Y$29,9,FALSE))</f>
        <v/>
      </c>
      <c r="R109" s="2" t="str">
        <f>IF($H109="","",VLOOKUP($H109,Data!$C$6:$Y$29,10,FALSE))</f>
        <v/>
      </c>
      <c r="S109" s="2" t="str">
        <f>IF($H109="","",VLOOKUP($H109,Data!$C$6:$Y$29,11,FALSE))</f>
        <v/>
      </c>
      <c r="T109" s="2" t="str">
        <f>IF($H109="","",VLOOKUP($H109,Data!$C$6:$Y$29,12,FALSE))</f>
        <v/>
      </c>
      <c r="U109" s="2" t="str">
        <f>IF($H109="","",VLOOKUP($H109,Data!$C$6:$Y$29,13,FALSE))</f>
        <v/>
      </c>
      <c r="V109" s="2" t="str">
        <f>IF($H109="","",VLOOKUP($H109,Data!$C$6:$Y$29,14,FALSE))</f>
        <v/>
      </c>
      <c r="W109" s="2" t="str">
        <f>IF($H109="","",VLOOKUP($H109,Data!$C$6:$Y$29,15,FALSE))</f>
        <v/>
      </c>
      <c r="X109" s="2" t="str">
        <f>IF($H109="","",VLOOKUP($H109,Data!$C$6:$Y$29,16,FALSE))</f>
        <v/>
      </c>
      <c r="Y109" s="2" t="str">
        <f>IF($H109="","",VLOOKUP($H109,Data!$C$6:$Y$29,17,FALSE))</f>
        <v/>
      </c>
      <c r="Z109" s="2" t="str">
        <f>IF($H109="","",VLOOKUP($H109,Data!$C$6:$Y$29,18,FALSE))</f>
        <v/>
      </c>
      <c r="AA109" s="2" t="str">
        <f>IF($H109="","",VLOOKUP($H109,Data!$C$6:$Y$29,19,FALSE))</f>
        <v/>
      </c>
      <c r="AB109" s="2" t="str">
        <f>IF($H109="","",VLOOKUP($H109,Data!$C$6:$Y$29,20,FALSE))</f>
        <v/>
      </c>
      <c r="AC109" s="2" t="str">
        <f>IF($H109="","",VLOOKUP($H109,Data!$C$6:$Y$29,21,FALSE))</f>
        <v/>
      </c>
      <c r="AD109" s="2" t="str">
        <f>IF($H109="","",VLOOKUP($H109,Data!$C$6:$Y$29,22,FALSE))</f>
        <v/>
      </c>
      <c r="AE109" s="3" t="str">
        <f>IF($H109="","",VLOOKUP($H109,Data!$C$6:$Y$29,23,FALSE))</f>
        <v/>
      </c>
      <c r="AG109" s="76" t="str">
        <f>IF($E109="","",IF($C109="DUCTED",VLOOKUP($E109,'DX-Data'!$D$5:$J$11,7,TRUE),IF($C109="DECORATIVE",VLOOKUP($E109,'DX-Data'!$D$19:$J$23,7,TRUE),IF($C109="PACKAGED",VLOOKUP($E109,'DX-Data'!$D$24:$J$30,7,TRUE),IF($C109="DUCTED-INV",VLOOKUP($E109,'DX-Data'!$D$12:$J$18,7,TRUE),"CHOOSE AC TYPE")))))</f>
        <v/>
      </c>
      <c r="AH109" s="76" t="str">
        <f>IF($F$9=TRUE,IF($C109="DUCTED",VLOOKUP($F109,'DX-Data'!$F$5:$J$11,5,TRUE),IF($C109="DECORATIVE",VLOOKUP($F109,'DX-Data'!$F$19:$J$23,5,TRUE),IF($C109="PACKAGED",VLOOKUP($F109,'DX-Data'!$F$24:$J$30,5,TRUE),IF($C109="DUCTED-INV",VLOOKUP($F109,'DX-Data'!$F$12:$J$18,5,TRUE),"CHOOSE AC TYPE")))),"NO SELECTION")</f>
        <v>CHOOSE AC TYPE</v>
      </c>
      <c r="AI109" s="76" t="str">
        <f>IF($G$9=TRUE,IF($C109="DUCTED",VLOOKUP($G109,'DX-Data'!$H$5:$J$11,3,TRUE),IF($C109="DECORATIVE",VLOOKUP($G109,'DX-Data'!$H$19:$J$23,3,TRUE),IF($C109="PACKAGED",VLOOKUP($G109,'DX-Data'!$H$24:$J$30,3,TRUE),IF($C109="DUCTED-INV",VLOOKUP($G109,'DX-Data'!$H$12:$J$18,3,TRUE),"CHOOSE AC TYPE")))),"NO SELECTION")</f>
        <v>NO SELECTION</v>
      </c>
      <c r="AJ109" s="77" t="str">
        <f>IF($E109="","",IF($C109="DUCTED",VLOOKUP($E109,'DX-Data'!$D$5:$J$11,6,TRUE),IF($C109="DECORATIVE",VLOOKUP($E109,'DX-Data'!$D$19:$J$23,6,TRUE),IF($C109="PACKAGED",VLOOKUP($E109,'DX-Data'!$D$24:$J$30,6,TRUE),IF($C109="DUCTED-INV",VLOOKUP($E109,'DX-Data'!$D$12:$J$18,6,TRUE),0)))))</f>
        <v/>
      </c>
      <c r="AK109" s="77" t="str">
        <f>IF($F$9=TRUE,IF($C109="DUCTED",VLOOKUP($F109,'DX-Data'!$F$5:$J$11,4,TRUE),IF($C109="DECORATIVE",VLOOKUP($F109,'DX-Data'!$F$19:$J$23,4,TRUE),IF($C109="PACKAGED",VLOOKUP($F109,'DX-Data'!$F$24:$J$30,4,TRUE),IF($C109="DUCTED-INV",VLOOKUP($F109,'DX-Data'!$F$12:$J$18,4,TRUE),"CHOOSE AC TYPE")))),0)</f>
        <v>CHOOSE AC TYPE</v>
      </c>
      <c r="AL109" s="77">
        <f>IF($G$9=TRUE,IF($C109="DUCTED",VLOOKUP($G109,'DX-Data'!$H$5:$J$11,2,TRUE),IF($C109="DECORATIVE",VLOOKUP($G109,'DX-Data'!$H$19:$J$23,2,TRUE),IF($C109="PACKAGED",VLOOKUP($G109,'DX-Data'!$H$24:$J$30,2,TRUE),IF($C109="DUCTED-INV",VLOOKUP($G109,'DX-Data'!$H$12:$J$18,2,TRUE),"CHOOSE AC TYPE")))),0)</f>
        <v>0</v>
      </c>
      <c r="AM109" s="77">
        <f t="shared" si="11"/>
        <v>0</v>
      </c>
      <c r="AN109" s="76" t="str">
        <f>IF(E109="","",VLOOKUP($AM109,'DX-Data'!$I$5:$J$31,2,FALSE))</f>
        <v/>
      </c>
      <c r="AO109" s="77" t="str">
        <f t="shared" si="12"/>
        <v/>
      </c>
    </row>
    <row r="110" spans="2:41" hidden="1" x14ac:dyDescent="0.3">
      <c r="B110" s="71"/>
      <c r="C110" s="26"/>
      <c r="D110" s="27"/>
      <c r="E110" s="26"/>
      <c r="F110" s="26"/>
      <c r="G110" s="82"/>
      <c r="H110" s="74" t="str">
        <f t="shared" si="9"/>
        <v/>
      </c>
      <c r="I110" s="2" t="str">
        <f t="shared" si="10"/>
        <v/>
      </c>
      <c r="J110" s="21" t="str">
        <f>IF($H110="","",VLOOKUP($H110,Data!$C$6:$Y$29,2,FALSE))</f>
        <v/>
      </c>
      <c r="K110" s="2" t="str">
        <f>IF($H110="","",VLOOKUP($H110,Data!$C$6:$Y$29,3,FALSE))</f>
        <v/>
      </c>
      <c r="L110" s="2" t="str">
        <f>IF($H110="","",VLOOKUP($H110,Data!$C$6:$Y$29,4,FALSE))</f>
        <v/>
      </c>
      <c r="M110" s="2" t="str">
        <f>IF($H110="","",VLOOKUP($H110,Data!$C$6:$Y$29,5,FALSE))</f>
        <v/>
      </c>
      <c r="N110" s="2" t="str">
        <f>IF($H110="","",VLOOKUP($H110,Data!$C$6:$Y$29,6,FALSE))</f>
        <v/>
      </c>
      <c r="O110" s="2" t="str">
        <f>IF($H110="","",VLOOKUP($H110,Data!$C$6:$Y$29,7,FALSE))</f>
        <v/>
      </c>
      <c r="P110" s="2" t="str">
        <f>IF($H110="","",VLOOKUP($H110,Data!$C$6:$Y$29,8,FALSE))</f>
        <v/>
      </c>
      <c r="Q110" s="2" t="str">
        <f>IF($H110="","",VLOOKUP($H110,Data!$C$6:$Y$29,9,FALSE))</f>
        <v/>
      </c>
      <c r="R110" s="2" t="str">
        <f>IF($H110="","",VLOOKUP($H110,Data!$C$6:$Y$29,10,FALSE))</f>
        <v/>
      </c>
      <c r="S110" s="2" t="str">
        <f>IF($H110="","",VLOOKUP($H110,Data!$C$6:$Y$29,11,FALSE))</f>
        <v/>
      </c>
      <c r="T110" s="2" t="str">
        <f>IF($H110="","",VLOOKUP($H110,Data!$C$6:$Y$29,12,FALSE))</f>
        <v/>
      </c>
      <c r="U110" s="2" t="str">
        <f>IF($H110="","",VLOOKUP($H110,Data!$C$6:$Y$29,13,FALSE))</f>
        <v/>
      </c>
      <c r="V110" s="2" t="str">
        <f>IF($H110="","",VLOOKUP($H110,Data!$C$6:$Y$29,14,FALSE))</f>
        <v/>
      </c>
      <c r="W110" s="2" t="str">
        <f>IF($H110="","",VLOOKUP($H110,Data!$C$6:$Y$29,15,FALSE))</f>
        <v/>
      </c>
      <c r="X110" s="2" t="str">
        <f>IF($H110="","",VLOOKUP($H110,Data!$C$6:$Y$29,16,FALSE))</f>
        <v/>
      </c>
      <c r="Y110" s="2" t="str">
        <f>IF($H110="","",VLOOKUP($H110,Data!$C$6:$Y$29,17,FALSE))</f>
        <v/>
      </c>
      <c r="Z110" s="2" t="str">
        <f>IF($H110="","",VLOOKUP($H110,Data!$C$6:$Y$29,18,FALSE))</f>
        <v/>
      </c>
      <c r="AA110" s="2" t="str">
        <f>IF($H110="","",VLOOKUP($H110,Data!$C$6:$Y$29,19,FALSE))</f>
        <v/>
      </c>
      <c r="AB110" s="2" t="str">
        <f>IF($H110="","",VLOOKUP($H110,Data!$C$6:$Y$29,20,FALSE))</f>
        <v/>
      </c>
      <c r="AC110" s="2" t="str">
        <f>IF($H110="","",VLOOKUP($H110,Data!$C$6:$Y$29,21,FALSE))</f>
        <v/>
      </c>
      <c r="AD110" s="2" t="str">
        <f>IF($H110="","",VLOOKUP($H110,Data!$C$6:$Y$29,22,FALSE))</f>
        <v/>
      </c>
      <c r="AE110" s="3" t="str">
        <f>IF($H110="","",VLOOKUP($H110,Data!$C$6:$Y$29,23,FALSE))</f>
        <v/>
      </c>
      <c r="AG110" s="76" t="str">
        <f>IF($E110="","",IF($C110="DUCTED",VLOOKUP($E110,'DX-Data'!$D$5:$J$11,7,TRUE),IF($C110="DECORATIVE",VLOOKUP($E110,'DX-Data'!$D$19:$J$23,7,TRUE),IF($C110="PACKAGED",VLOOKUP($E110,'DX-Data'!$D$24:$J$30,7,TRUE),IF($C110="DUCTED-INV",VLOOKUP($E110,'DX-Data'!$D$12:$J$18,7,TRUE),"CHOOSE AC TYPE")))))</f>
        <v/>
      </c>
      <c r="AH110" s="76" t="str">
        <f>IF($F$9=TRUE,IF($C110="DUCTED",VLOOKUP($F110,'DX-Data'!$F$5:$J$11,5,TRUE),IF($C110="DECORATIVE",VLOOKUP($F110,'DX-Data'!$F$19:$J$23,5,TRUE),IF($C110="PACKAGED",VLOOKUP($F110,'DX-Data'!$F$24:$J$30,5,TRUE),IF($C110="DUCTED-INV",VLOOKUP($F110,'DX-Data'!$F$12:$J$18,5,TRUE),"CHOOSE AC TYPE")))),"NO SELECTION")</f>
        <v>CHOOSE AC TYPE</v>
      </c>
      <c r="AI110" s="76" t="str">
        <f>IF($G$9=TRUE,IF($C110="DUCTED",VLOOKUP($G110,'DX-Data'!$H$5:$J$11,3,TRUE),IF($C110="DECORATIVE",VLOOKUP($G110,'DX-Data'!$H$19:$J$23,3,TRUE),IF($C110="PACKAGED",VLOOKUP($G110,'DX-Data'!$H$24:$J$30,3,TRUE),IF($C110="DUCTED-INV",VLOOKUP($G110,'DX-Data'!$H$12:$J$18,3,TRUE),"CHOOSE AC TYPE")))),"NO SELECTION")</f>
        <v>NO SELECTION</v>
      </c>
      <c r="AJ110" s="77" t="str">
        <f>IF($E110="","",IF($C110="DUCTED",VLOOKUP($E110,'DX-Data'!$D$5:$J$11,6,TRUE),IF($C110="DECORATIVE",VLOOKUP($E110,'DX-Data'!$D$19:$J$23,6,TRUE),IF($C110="PACKAGED",VLOOKUP($E110,'DX-Data'!$D$24:$J$30,6,TRUE),IF($C110="DUCTED-INV",VLOOKUP($E110,'DX-Data'!$D$12:$J$18,6,TRUE),0)))))</f>
        <v/>
      </c>
      <c r="AK110" s="77" t="str">
        <f>IF($F$9=TRUE,IF($C110="DUCTED",VLOOKUP($F110,'DX-Data'!$F$5:$J$11,4,TRUE),IF($C110="DECORATIVE",VLOOKUP($F110,'DX-Data'!$F$19:$J$23,4,TRUE),IF($C110="PACKAGED",VLOOKUP($F110,'DX-Data'!$F$24:$J$30,4,TRUE),IF($C110="DUCTED-INV",VLOOKUP($F110,'DX-Data'!$F$12:$J$18,4,TRUE),"CHOOSE AC TYPE")))),0)</f>
        <v>CHOOSE AC TYPE</v>
      </c>
      <c r="AL110" s="77">
        <f>IF($G$9=TRUE,IF($C110="DUCTED",VLOOKUP($G110,'DX-Data'!$H$5:$J$11,2,TRUE),IF($C110="DECORATIVE",VLOOKUP($G110,'DX-Data'!$H$19:$J$23,2,TRUE),IF($C110="PACKAGED",VLOOKUP($G110,'DX-Data'!$H$24:$J$30,2,TRUE),IF($C110="DUCTED-INV",VLOOKUP($G110,'DX-Data'!$H$12:$J$18,2,TRUE),"CHOOSE AC TYPE")))),0)</f>
        <v>0</v>
      </c>
      <c r="AM110" s="77">
        <f t="shared" si="11"/>
        <v>0</v>
      </c>
      <c r="AN110" s="76" t="str">
        <f>IF(E110="","",VLOOKUP($AM110,'DX-Data'!$I$5:$J$31,2,FALSE))</f>
        <v/>
      </c>
      <c r="AO110" s="77" t="str">
        <f t="shared" si="12"/>
        <v/>
      </c>
    </row>
    <row r="111" spans="2:41" hidden="1" x14ac:dyDescent="0.3">
      <c r="B111" s="71"/>
      <c r="C111" s="26"/>
      <c r="D111" s="27"/>
      <c r="E111" s="26"/>
      <c r="F111" s="26"/>
      <c r="G111" s="82"/>
      <c r="H111" s="74" t="str">
        <f t="shared" si="9"/>
        <v/>
      </c>
      <c r="I111" s="2" t="str">
        <f t="shared" si="10"/>
        <v/>
      </c>
      <c r="J111" s="21" t="str">
        <f>IF($H111="","",VLOOKUP($H111,Data!$C$6:$Y$29,2,FALSE))</f>
        <v/>
      </c>
      <c r="K111" s="2" t="str">
        <f>IF($H111="","",VLOOKUP($H111,Data!$C$6:$Y$29,3,FALSE))</f>
        <v/>
      </c>
      <c r="L111" s="2" t="str">
        <f>IF($H111="","",VLOOKUP($H111,Data!$C$6:$Y$29,4,FALSE))</f>
        <v/>
      </c>
      <c r="M111" s="2" t="str">
        <f>IF($H111="","",VLOOKUP($H111,Data!$C$6:$Y$29,5,FALSE))</f>
        <v/>
      </c>
      <c r="N111" s="2" t="str">
        <f>IF($H111="","",VLOOKUP($H111,Data!$C$6:$Y$29,6,FALSE))</f>
        <v/>
      </c>
      <c r="O111" s="2" t="str">
        <f>IF($H111="","",VLOOKUP($H111,Data!$C$6:$Y$29,7,FALSE))</f>
        <v/>
      </c>
      <c r="P111" s="2" t="str">
        <f>IF($H111="","",VLOOKUP($H111,Data!$C$6:$Y$29,8,FALSE))</f>
        <v/>
      </c>
      <c r="Q111" s="2" t="str">
        <f>IF($H111="","",VLOOKUP($H111,Data!$C$6:$Y$29,9,FALSE))</f>
        <v/>
      </c>
      <c r="R111" s="2" t="str">
        <f>IF($H111="","",VLOOKUP($H111,Data!$C$6:$Y$29,10,FALSE))</f>
        <v/>
      </c>
      <c r="S111" s="2" t="str">
        <f>IF($H111="","",VLOOKUP($H111,Data!$C$6:$Y$29,11,FALSE))</f>
        <v/>
      </c>
      <c r="T111" s="2" t="str">
        <f>IF($H111="","",VLOOKUP($H111,Data!$C$6:$Y$29,12,FALSE))</f>
        <v/>
      </c>
      <c r="U111" s="2" t="str">
        <f>IF($H111="","",VLOOKUP($H111,Data!$C$6:$Y$29,13,FALSE))</f>
        <v/>
      </c>
      <c r="V111" s="2" t="str">
        <f>IF($H111="","",VLOOKUP($H111,Data!$C$6:$Y$29,14,FALSE))</f>
        <v/>
      </c>
      <c r="W111" s="2" t="str">
        <f>IF($H111="","",VLOOKUP($H111,Data!$C$6:$Y$29,15,FALSE))</f>
        <v/>
      </c>
      <c r="X111" s="2" t="str">
        <f>IF($H111="","",VLOOKUP($H111,Data!$C$6:$Y$29,16,FALSE))</f>
        <v/>
      </c>
      <c r="Y111" s="2" t="str">
        <f>IF($H111="","",VLOOKUP($H111,Data!$C$6:$Y$29,17,FALSE))</f>
        <v/>
      </c>
      <c r="Z111" s="2" t="str">
        <f>IF($H111="","",VLOOKUP($H111,Data!$C$6:$Y$29,18,FALSE))</f>
        <v/>
      </c>
      <c r="AA111" s="2" t="str">
        <f>IF($H111="","",VLOOKUP($H111,Data!$C$6:$Y$29,19,FALSE))</f>
        <v/>
      </c>
      <c r="AB111" s="2" t="str">
        <f>IF($H111="","",VLOOKUP($H111,Data!$C$6:$Y$29,20,FALSE))</f>
        <v/>
      </c>
      <c r="AC111" s="2" t="str">
        <f>IF($H111="","",VLOOKUP($H111,Data!$C$6:$Y$29,21,FALSE))</f>
        <v/>
      </c>
      <c r="AD111" s="2" t="str">
        <f>IF($H111="","",VLOOKUP($H111,Data!$C$6:$Y$29,22,FALSE))</f>
        <v/>
      </c>
      <c r="AE111" s="3" t="str">
        <f>IF($H111="","",VLOOKUP($H111,Data!$C$6:$Y$29,23,FALSE))</f>
        <v/>
      </c>
      <c r="AG111" s="76" t="str">
        <f>IF($E111="","",IF($C111="DUCTED",VLOOKUP($E111,'DX-Data'!$D$5:$J$11,7,TRUE),IF($C111="DECORATIVE",VLOOKUP($E111,'DX-Data'!$D$19:$J$23,7,TRUE),IF($C111="PACKAGED",VLOOKUP($E111,'DX-Data'!$D$24:$J$30,7,TRUE),IF($C111="DUCTED-INV",VLOOKUP($E111,'DX-Data'!$D$12:$J$18,7,TRUE),"CHOOSE AC TYPE")))))</f>
        <v/>
      </c>
      <c r="AH111" s="76" t="str">
        <f>IF($F$9=TRUE,IF($C111="DUCTED",VLOOKUP($F111,'DX-Data'!$F$5:$J$11,5,TRUE),IF($C111="DECORATIVE",VLOOKUP($F111,'DX-Data'!$F$19:$J$23,5,TRUE),IF($C111="PACKAGED",VLOOKUP($F111,'DX-Data'!$F$24:$J$30,5,TRUE),IF($C111="DUCTED-INV",VLOOKUP($F111,'DX-Data'!$F$12:$J$18,5,TRUE),"CHOOSE AC TYPE")))),"NO SELECTION")</f>
        <v>CHOOSE AC TYPE</v>
      </c>
      <c r="AI111" s="76" t="str">
        <f>IF($G$9=TRUE,IF($C111="DUCTED",VLOOKUP($G111,'DX-Data'!$H$5:$J$11,3,TRUE),IF($C111="DECORATIVE",VLOOKUP($G111,'DX-Data'!$H$19:$J$23,3,TRUE),IF($C111="PACKAGED",VLOOKUP($G111,'DX-Data'!$H$24:$J$30,3,TRUE),IF($C111="DUCTED-INV",VLOOKUP($G111,'DX-Data'!$H$12:$J$18,3,TRUE),"CHOOSE AC TYPE")))),"NO SELECTION")</f>
        <v>NO SELECTION</v>
      </c>
      <c r="AJ111" s="77" t="str">
        <f>IF($E111="","",IF($C111="DUCTED",VLOOKUP($E111,'DX-Data'!$D$5:$J$11,6,TRUE),IF($C111="DECORATIVE",VLOOKUP($E111,'DX-Data'!$D$19:$J$23,6,TRUE),IF($C111="PACKAGED",VLOOKUP($E111,'DX-Data'!$D$24:$J$30,6,TRUE),IF($C111="DUCTED-INV",VLOOKUP($E111,'DX-Data'!$D$12:$J$18,6,TRUE),0)))))</f>
        <v/>
      </c>
      <c r="AK111" s="77" t="str">
        <f>IF($F$9=TRUE,IF($C111="DUCTED",VLOOKUP($F111,'DX-Data'!$F$5:$J$11,4,TRUE),IF($C111="DECORATIVE",VLOOKUP($F111,'DX-Data'!$F$19:$J$23,4,TRUE),IF($C111="PACKAGED",VLOOKUP($F111,'DX-Data'!$F$24:$J$30,4,TRUE),IF($C111="DUCTED-INV",VLOOKUP($F111,'DX-Data'!$F$12:$J$18,4,TRUE),"CHOOSE AC TYPE")))),0)</f>
        <v>CHOOSE AC TYPE</v>
      </c>
      <c r="AL111" s="77">
        <f>IF($G$9=TRUE,IF($C111="DUCTED",VLOOKUP($G111,'DX-Data'!$H$5:$J$11,2,TRUE),IF($C111="DECORATIVE",VLOOKUP($G111,'DX-Data'!$H$19:$J$23,2,TRUE),IF($C111="PACKAGED",VLOOKUP($G111,'DX-Data'!$H$24:$J$30,2,TRUE),IF($C111="DUCTED-INV",VLOOKUP($G111,'DX-Data'!$H$12:$J$18,2,TRUE),"CHOOSE AC TYPE")))),0)</f>
        <v>0</v>
      </c>
      <c r="AM111" s="77">
        <f t="shared" si="11"/>
        <v>0</v>
      </c>
      <c r="AN111" s="76" t="str">
        <f>IF(E111="","",VLOOKUP($AM111,'DX-Data'!$I$5:$J$31,2,FALSE))</f>
        <v/>
      </c>
      <c r="AO111" s="77" t="str">
        <f t="shared" si="12"/>
        <v/>
      </c>
    </row>
    <row r="112" spans="2:41" hidden="1" x14ac:dyDescent="0.3">
      <c r="B112" s="71"/>
      <c r="C112" s="26"/>
      <c r="D112" s="27"/>
      <c r="E112" s="26"/>
      <c r="F112" s="26"/>
      <c r="G112" s="82"/>
      <c r="H112" s="74" t="str">
        <f t="shared" si="9"/>
        <v/>
      </c>
      <c r="I112" s="2" t="str">
        <f t="shared" si="10"/>
        <v/>
      </c>
      <c r="J112" s="21" t="str">
        <f>IF($H112="","",VLOOKUP($H112,Data!$C$6:$Y$29,2,FALSE))</f>
        <v/>
      </c>
      <c r="K112" s="2" t="str">
        <f>IF($H112="","",VLOOKUP($H112,Data!$C$6:$Y$29,3,FALSE))</f>
        <v/>
      </c>
      <c r="L112" s="2" t="str">
        <f>IF($H112="","",VLOOKUP($H112,Data!$C$6:$Y$29,4,FALSE))</f>
        <v/>
      </c>
      <c r="M112" s="2" t="str">
        <f>IF($H112="","",VLOOKUP($H112,Data!$C$6:$Y$29,5,FALSE))</f>
        <v/>
      </c>
      <c r="N112" s="2" t="str">
        <f>IF($H112="","",VLOOKUP($H112,Data!$C$6:$Y$29,6,FALSE))</f>
        <v/>
      </c>
      <c r="O112" s="2" t="str">
        <f>IF($H112="","",VLOOKUP($H112,Data!$C$6:$Y$29,7,FALSE))</f>
        <v/>
      </c>
      <c r="P112" s="2" t="str">
        <f>IF($H112="","",VLOOKUP($H112,Data!$C$6:$Y$29,8,FALSE))</f>
        <v/>
      </c>
      <c r="Q112" s="2" t="str">
        <f>IF($H112="","",VLOOKUP($H112,Data!$C$6:$Y$29,9,FALSE))</f>
        <v/>
      </c>
      <c r="R112" s="2" t="str">
        <f>IF($H112="","",VLOOKUP($H112,Data!$C$6:$Y$29,10,FALSE))</f>
        <v/>
      </c>
      <c r="S112" s="2" t="str">
        <f>IF($H112="","",VLOOKUP($H112,Data!$C$6:$Y$29,11,FALSE))</f>
        <v/>
      </c>
      <c r="T112" s="2" t="str">
        <f>IF($H112="","",VLOOKUP($H112,Data!$C$6:$Y$29,12,FALSE))</f>
        <v/>
      </c>
      <c r="U112" s="2" t="str">
        <f>IF($H112="","",VLOOKUP($H112,Data!$C$6:$Y$29,13,FALSE))</f>
        <v/>
      </c>
      <c r="V112" s="2" t="str">
        <f>IF($H112="","",VLOOKUP($H112,Data!$C$6:$Y$29,14,FALSE))</f>
        <v/>
      </c>
      <c r="W112" s="2" t="str">
        <f>IF($H112="","",VLOOKUP($H112,Data!$C$6:$Y$29,15,FALSE))</f>
        <v/>
      </c>
      <c r="X112" s="2" t="str">
        <f>IF($H112="","",VLOOKUP($H112,Data!$C$6:$Y$29,16,FALSE))</f>
        <v/>
      </c>
      <c r="Y112" s="2" t="str">
        <f>IF($H112="","",VLOOKUP($H112,Data!$C$6:$Y$29,17,FALSE))</f>
        <v/>
      </c>
      <c r="Z112" s="2" t="str">
        <f>IF($H112="","",VLOOKUP($H112,Data!$C$6:$Y$29,18,FALSE))</f>
        <v/>
      </c>
      <c r="AA112" s="2" t="str">
        <f>IF($H112="","",VLOOKUP($H112,Data!$C$6:$Y$29,19,FALSE))</f>
        <v/>
      </c>
      <c r="AB112" s="2" t="str">
        <f>IF($H112="","",VLOOKUP($H112,Data!$C$6:$Y$29,20,FALSE))</f>
        <v/>
      </c>
      <c r="AC112" s="2" t="str">
        <f>IF($H112="","",VLOOKUP($H112,Data!$C$6:$Y$29,21,FALSE))</f>
        <v/>
      </c>
      <c r="AD112" s="2" t="str">
        <f>IF($H112="","",VLOOKUP($H112,Data!$C$6:$Y$29,22,FALSE))</f>
        <v/>
      </c>
      <c r="AE112" s="3" t="str">
        <f>IF($H112="","",VLOOKUP($H112,Data!$C$6:$Y$29,23,FALSE))</f>
        <v/>
      </c>
      <c r="AG112" s="76" t="str">
        <f>IF($E112="","",IF($C112="DUCTED",VLOOKUP($E112,'DX-Data'!$D$5:$J$11,7,TRUE),IF($C112="DECORATIVE",VLOOKUP($E112,'DX-Data'!$D$19:$J$23,7,TRUE),IF($C112="PACKAGED",VLOOKUP($E112,'DX-Data'!$D$24:$J$30,7,TRUE),IF($C112="DUCTED-INV",VLOOKUP($E112,'DX-Data'!$D$12:$J$18,7,TRUE),"CHOOSE AC TYPE")))))</f>
        <v/>
      </c>
      <c r="AH112" s="76" t="str">
        <f>IF($F$9=TRUE,IF($C112="DUCTED",VLOOKUP($F112,'DX-Data'!$F$5:$J$11,5,TRUE),IF($C112="DECORATIVE",VLOOKUP($F112,'DX-Data'!$F$19:$J$23,5,TRUE),IF($C112="PACKAGED",VLOOKUP($F112,'DX-Data'!$F$24:$J$30,5,TRUE),IF($C112="DUCTED-INV",VLOOKUP($F112,'DX-Data'!$F$12:$J$18,5,TRUE),"CHOOSE AC TYPE")))),"NO SELECTION")</f>
        <v>CHOOSE AC TYPE</v>
      </c>
      <c r="AI112" s="76" t="str">
        <f>IF($G$9=TRUE,IF($C112="DUCTED",VLOOKUP($G112,'DX-Data'!$H$5:$J$11,3,TRUE),IF($C112="DECORATIVE",VLOOKUP($G112,'DX-Data'!$H$19:$J$23,3,TRUE),IF($C112="PACKAGED",VLOOKUP($G112,'DX-Data'!$H$24:$J$30,3,TRUE),IF($C112="DUCTED-INV",VLOOKUP($G112,'DX-Data'!$H$12:$J$18,3,TRUE),"CHOOSE AC TYPE")))),"NO SELECTION")</f>
        <v>NO SELECTION</v>
      </c>
      <c r="AJ112" s="77" t="str">
        <f>IF($E112="","",IF($C112="DUCTED",VLOOKUP($E112,'DX-Data'!$D$5:$J$11,6,TRUE),IF($C112="DECORATIVE",VLOOKUP($E112,'DX-Data'!$D$19:$J$23,6,TRUE),IF($C112="PACKAGED",VLOOKUP($E112,'DX-Data'!$D$24:$J$30,6,TRUE),IF($C112="DUCTED-INV",VLOOKUP($E112,'DX-Data'!$D$12:$J$18,6,TRUE),0)))))</f>
        <v/>
      </c>
      <c r="AK112" s="77" t="str">
        <f>IF($F$9=TRUE,IF($C112="DUCTED",VLOOKUP($F112,'DX-Data'!$F$5:$J$11,4,TRUE),IF($C112="DECORATIVE",VLOOKUP($F112,'DX-Data'!$F$19:$J$23,4,TRUE),IF($C112="PACKAGED",VLOOKUP($F112,'DX-Data'!$F$24:$J$30,4,TRUE),IF($C112="DUCTED-INV",VLOOKUP($F112,'DX-Data'!$F$12:$J$18,4,TRUE),"CHOOSE AC TYPE")))),0)</f>
        <v>CHOOSE AC TYPE</v>
      </c>
      <c r="AL112" s="77">
        <f>IF($G$9=TRUE,IF($C112="DUCTED",VLOOKUP($G112,'DX-Data'!$H$5:$J$11,2,TRUE),IF($C112="DECORATIVE",VLOOKUP($G112,'DX-Data'!$H$19:$J$23,2,TRUE),IF($C112="PACKAGED",VLOOKUP($G112,'DX-Data'!$H$24:$J$30,2,TRUE),IF($C112="DUCTED-INV",VLOOKUP($G112,'DX-Data'!$H$12:$J$18,2,TRUE),"CHOOSE AC TYPE")))),0)</f>
        <v>0</v>
      </c>
      <c r="AM112" s="77">
        <f t="shared" si="11"/>
        <v>0</v>
      </c>
      <c r="AN112" s="76" t="str">
        <f>IF(E112="","",VLOOKUP($AM112,'DX-Data'!$I$5:$J$31,2,FALSE))</f>
        <v/>
      </c>
      <c r="AO112" s="77" t="str">
        <f t="shared" si="12"/>
        <v/>
      </c>
    </row>
    <row r="113" spans="2:41" hidden="1" x14ac:dyDescent="0.3">
      <c r="B113" s="71"/>
      <c r="C113" s="26"/>
      <c r="D113" s="27"/>
      <c r="E113" s="26"/>
      <c r="F113" s="26"/>
      <c r="G113" s="82"/>
      <c r="H113" s="74" t="str">
        <f t="shared" si="9"/>
        <v/>
      </c>
      <c r="I113" s="2" t="str">
        <f t="shared" si="10"/>
        <v/>
      </c>
      <c r="J113" s="21" t="str">
        <f>IF($H113="","",VLOOKUP($H113,Data!$C$6:$Y$29,2,FALSE))</f>
        <v/>
      </c>
      <c r="K113" s="2" t="str">
        <f>IF($H113="","",VLOOKUP($H113,Data!$C$6:$Y$29,3,FALSE))</f>
        <v/>
      </c>
      <c r="L113" s="2" t="str">
        <f>IF($H113="","",VLOOKUP($H113,Data!$C$6:$Y$29,4,FALSE))</f>
        <v/>
      </c>
      <c r="M113" s="2" t="str">
        <f>IF($H113="","",VLOOKUP($H113,Data!$C$6:$Y$29,5,FALSE))</f>
        <v/>
      </c>
      <c r="N113" s="2" t="str">
        <f>IF($H113="","",VLOOKUP($H113,Data!$C$6:$Y$29,6,FALSE))</f>
        <v/>
      </c>
      <c r="O113" s="2" t="str">
        <f>IF($H113="","",VLOOKUP($H113,Data!$C$6:$Y$29,7,FALSE))</f>
        <v/>
      </c>
      <c r="P113" s="2" t="str">
        <f>IF($H113="","",VLOOKUP($H113,Data!$C$6:$Y$29,8,FALSE))</f>
        <v/>
      </c>
      <c r="Q113" s="2" t="str">
        <f>IF($H113="","",VLOOKUP($H113,Data!$C$6:$Y$29,9,FALSE))</f>
        <v/>
      </c>
      <c r="R113" s="2" t="str">
        <f>IF($H113="","",VLOOKUP($H113,Data!$C$6:$Y$29,10,FALSE))</f>
        <v/>
      </c>
      <c r="S113" s="2" t="str">
        <f>IF($H113="","",VLOOKUP($H113,Data!$C$6:$Y$29,11,FALSE))</f>
        <v/>
      </c>
      <c r="T113" s="2" t="str">
        <f>IF($H113="","",VLOOKUP($H113,Data!$C$6:$Y$29,12,FALSE))</f>
        <v/>
      </c>
      <c r="U113" s="2" t="str">
        <f>IF($H113="","",VLOOKUP($H113,Data!$C$6:$Y$29,13,FALSE))</f>
        <v/>
      </c>
      <c r="V113" s="2" t="str">
        <f>IF($H113="","",VLOOKUP($H113,Data!$C$6:$Y$29,14,FALSE))</f>
        <v/>
      </c>
      <c r="W113" s="2" t="str">
        <f>IF($H113="","",VLOOKUP($H113,Data!$C$6:$Y$29,15,FALSE))</f>
        <v/>
      </c>
      <c r="X113" s="2" t="str">
        <f>IF($H113="","",VLOOKUP($H113,Data!$C$6:$Y$29,16,FALSE))</f>
        <v/>
      </c>
      <c r="Y113" s="2" t="str">
        <f>IF($H113="","",VLOOKUP($H113,Data!$C$6:$Y$29,17,FALSE))</f>
        <v/>
      </c>
      <c r="Z113" s="2" t="str">
        <f>IF($H113="","",VLOOKUP($H113,Data!$C$6:$Y$29,18,FALSE))</f>
        <v/>
      </c>
      <c r="AA113" s="2" t="str">
        <f>IF($H113="","",VLOOKUP($H113,Data!$C$6:$Y$29,19,FALSE))</f>
        <v/>
      </c>
      <c r="AB113" s="2" t="str">
        <f>IF($H113="","",VLOOKUP($H113,Data!$C$6:$Y$29,20,FALSE))</f>
        <v/>
      </c>
      <c r="AC113" s="2" t="str">
        <f>IF($H113="","",VLOOKUP($H113,Data!$C$6:$Y$29,21,FALSE))</f>
        <v/>
      </c>
      <c r="AD113" s="2" t="str">
        <f>IF($H113="","",VLOOKUP($H113,Data!$C$6:$Y$29,22,FALSE))</f>
        <v/>
      </c>
      <c r="AE113" s="3" t="str">
        <f>IF($H113="","",VLOOKUP($H113,Data!$C$6:$Y$29,23,FALSE))</f>
        <v/>
      </c>
      <c r="AG113" s="76" t="str">
        <f>IF($E113="","",IF($C113="DUCTED",VLOOKUP($E113,'DX-Data'!$D$5:$J$11,7,TRUE),IF($C113="DECORATIVE",VLOOKUP($E113,'DX-Data'!$D$19:$J$23,7,TRUE),IF($C113="PACKAGED",VLOOKUP($E113,'DX-Data'!$D$24:$J$30,7,TRUE),IF($C113="DUCTED-INV",VLOOKUP($E113,'DX-Data'!$D$12:$J$18,7,TRUE),"CHOOSE AC TYPE")))))</f>
        <v/>
      </c>
      <c r="AH113" s="76" t="str">
        <f>IF($F$9=TRUE,IF($C113="DUCTED",VLOOKUP($F113,'DX-Data'!$F$5:$J$11,5,TRUE),IF($C113="DECORATIVE",VLOOKUP($F113,'DX-Data'!$F$19:$J$23,5,TRUE),IF($C113="PACKAGED",VLOOKUP($F113,'DX-Data'!$F$24:$J$30,5,TRUE),IF($C113="DUCTED-INV",VLOOKUP($F113,'DX-Data'!$F$12:$J$18,5,TRUE),"CHOOSE AC TYPE")))),"NO SELECTION")</f>
        <v>CHOOSE AC TYPE</v>
      </c>
      <c r="AI113" s="76" t="str">
        <f>IF($G$9=TRUE,IF($C113="DUCTED",VLOOKUP($G113,'DX-Data'!$H$5:$J$11,3,TRUE),IF($C113="DECORATIVE",VLOOKUP($G113,'DX-Data'!$H$19:$J$23,3,TRUE),IF($C113="PACKAGED",VLOOKUP($G113,'DX-Data'!$H$24:$J$30,3,TRUE),IF($C113="DUCTED-INV",VLOOKUP($G113,'DX-Data'!$H$12:$J$18,3,TRUE),"CHOOSE AC TYPE")))),"NO SELECTION")</f>
        <v>NO SELECTION</v>
      </c>
      <c r="AJ113" s="77" t="str">
        <f>IF($E113="","",IF($C113="DUCTED",VLOOKUP($E113,'DX-Data'!$D$5:$J$11,6,TRUE),IF($C113="DECORATIVE",VLOOKUP($E113,'DX-Data'!$D$19:$J$23,6,TRUE),IF($C113="PACKAGED",VLOOKUP($E113,'DX-Data'!$D$24:$J$30,6,TRUE),IF($C113="DUCTED-INV",VLOOKUP($E113,'DX-Data'!$D$12:$J$18,6,TRUE),0)))))</f>
        <v/>
      </c>
      <c r="AK113" s="77" t="str">
        <f>IF($F$9=TRUE,IF($C113="DUCTED",VLOOKUP($F113,'DX-Data'!$F$5:$J$11,4,TRUE),IF($C113="DECORATIVE",VLOOKUP($F113,'DX-Data'!$F$19:$J$23,4,TRUE),IF($C113="PACKAGED",VLOOKUP($F113,'DX-Data'!$F$24:$J$30,4,TRUE),IF($C113="DUCTED-INV",VLOOKUP($F113,'DX-Data'!$F$12:$J$18,4,TRUE),"CHOOSE AC TYPE")))),0)</f>
        <v>CHOOSE AC TYPE</v>
      </c>
      <c r="AL113" s="77">
        <f>IF($G$9=TRUE,IF($C113="DUCTED",VLOOKUP($G113,'DX-Data'!$H$5:$J$11,2,TRUE),IF($C113="DECORATIVE",VLOOKUP($G113,'DX-Data'!$H$19:$J$23,2,TRUE),IF($C113="PACKAGED",VLOOKUP($G113,'DX-Data'!$H$24:$J$30,2,TRUE),IF($C113="DUCTED-INV",VLOOKUP($G113,'DX-Data'!$H$12:$J$18,2,TRUE),"CHOOSE AC TYPE")))),0)</f>
        <v>0</v>
      </c>
      <c r="AM113" s="77">
        <f t="shared" si="11"/>
        <v>0</v>
      </c>
      <c r="AN113" s="76" t="str">
        <f>IF(E113="","",VLOOKUP($AM113,'DX-Data'!$I$5:$J$31,2,FALSE))</f>
        <v/>
      </c>
      <c r="AO113" s="77" t="str">
        <f t="shared" si="12"/>
        <v/>
      </c>
    </row>
    <row r="114" spans="2:41" hidden="1" x14ac:dyDescent="0.3">
      <c r="B114" s="71"/>
      <c r="C114" s="26"/>
      <c r="D114" s="27"/>
      <c r="E114" s="26"/>
      <c r="F114" s="26"/>
      <c r="G114" s="82"/>
      <c r="H114" s="74" t="str">
        <f t="shared" si="9"/>
        <v/>
      </c>
      <c r="I114" s="2" t="str">
        <f t="shared" si="10"/>
        <v/>
      </c>
      <c r="J114" s="21" t="str">
        <f>IF($H114="","",VLOOKUP($H114,Data!$C$6:$Y$29,2,FALSE))</f>
        <v/>
      </c>
      <c r="K114" s="2" t="str">
        <f>IF($H114="","",VLOOKUP($H114,Data!$C$6:$Y$29,3,FALSE))</f>
        <v/>
      </c>
      <c r="L114" s="2" t="str">
        <f>IF($H114="","",VLOOKUP($H114,Data!$C$6:$Y$29,4,FALSE))</f>
        <v/>
      </c>
      <c r="M114" s="2" t="str">
        <f>IF($H114="","",VLOOKUP($H114,Data!$C$6:$Y$29,5,FALSE))</f>
        <v/>
      </c>
      <c r="N114" s="2" t="str">
        <f>IF($H114="","",VLOOKUP($H114,Data!$C$6:$Y$29,6,FALSE))</f>
        <v/>
      </c>
      <c r="O114" s="2" t="str">
        <f>IF($H114="","",VLOOKUP($H114,Data!$C$6:$Y$29,7,FALSE))</f>
        <v/>
      </c>
      <c r="P114" s="2" t="str">
        <f>IF($H114="","",VLOOKUP($H114,Data!$C$6:$Y$29,8,FALSE))</f>
        <v/>
      </c>
      <c r="Q114" s="2" t="str">
        <f>IF($H114="","",VLOOKUP($H114,Data!$C$6:$Y$29,9,FALSE))</f>
        <v/>
      </c>
      <c r="R114" s="2" t="str">
        <f>IF($H114="","",VLOOKUP($H114,Data!$C$6:$Y$29,10,FALSE))</f>
        <v/>
      </c>
      <c r="S114" s="2" t="str">
        <f>IF($H114="","",VLOOKUP($H114,Data!$C$6:$Y$29,11,FALSE))</f>
        <v/>
      </c>
      <c r="T114" s="2" t="str">
        <f>IF($H114="","",VLOOKUP($H114,Data!$C$6:$Y$29,12,FALSE))</f>
        <v/>
      </c>
      <c r="U114" s="2" t="str">
        <f>IF($H114="","",VLOOKUP($H114,Data!$C$6:$Y$29,13,FALSE))</f>
        <v/>
      </c>
      <c r="V114" s="2" t="str">
        <f>IF($H114="","",VLOOKUP($H114,Data!$C$6:$Y$29,14,FALSE))</f>
        <v/>
      </c>
      <c r="W114" s="2" t="str">
        <f>IF($H114="","",VLOOKUP($H114,Data!$C$6:$Y$29,15,FALSE))</f>
        <v/>
      </c>
      <c r="X114" s="2" t="str">
        <f>IF($H114="","",VLOOKUP($H114,Data!$C$6:$Y$29,16,FALSE))</f>
        <v/>
      </c>
      <c r="Y114" s="2" t="str">
        <f>IF($H114="","",VLOOKUP($H114,Data!$C$6:$Y$29,17,FALSE))</f>
        <v/>
      </c>
      <c r="Z114" s="2" t="str">
        <f>IF($H114="","",VLOOKUP($H114,Data!$C$6:$Y$29,18,FALSE))</f>
        <v/>
      </c>
      <c r="AA114" s="2" t="str">
        <f>IF($H114="","",VLOOKUP($H114,Data!$C$6:$Y$29,19,FALSE))</f>
        <v/>
      </c>
      <c r="AB114" s="2" t="str">
        <f>IF($H114="","",VLOOKUP($H114,Data!$C$6:$Y$29,20,FALSE))</f>
        <v/>
      </c>
      <c r="AC114" s="2" t="str">
        <f>IF($H114="","",VLOOKUP($H114,Data!$C$6:$Y$29,21,FALSE))</f>
        <v/>
      </c>
      <c r="AD114" s="2" t="str">
        <f>IF($H114="","",VLOOKUP($H114,Data!$C$6:$Y$29,22,FALSE))</f>
        <v/>
      </c>
      <c r="AE114" s="3" t="str">
        <f>IF($H114="","",VLOOKUP($H114,Data!$C$6:$Y$29,23,FALSE))</f>
        <v/>
      </c>
      <c r="AG114" s="76" t="str">
        <f>IF($E114="","",IF($C114="DUCTED",VLOOKUP($E114,'DX-Data'!$D$5:$J$11,7,TRUE),IF($C114="DECORATIVE",VLOOKUP($E114,'DX-Data'!$D$19:$J$23,7,TRUE),IF($C114="PACKAGED",VLOOKUP($E114,'DX-Data'!$D$24:$J$30,7,TRUE),IF($C114="DUCTED-INV",VLOOKUP($E114,'DX-Data'!$D$12:$J$18,7,TRUE),"CHOOSE AC TYPE")))))</f>
        <v/>
      </c>
      <c r="AH114" s="76" t="str">
        <f>IF($F$9=TRUE,IF($C114="DUCTED",VLOOKUP($F114,'DX-Data'!$F$5:$J$11,5,TRUE),IF($C114="DECORATIVE",VLOOKUP($F114,'DX-Data'!$F$19:$J$23,5,TRUE),IF($C114="PACKAGED",VLOOKUP($F114,'DX-Data'!$F$24:$J$30,5,TRUE),IF($C114="DUCTED-INV",VLOOKUP($F114,'DX-Data'!$F$12:$J$18,5,TRUE),"CHOOSE AC TYPE")))),"NO SELECTION")</f>
        <v>CHOOSE AC TYPE</v>
      </c>
      <c r="AI114" s="76" t="str">
        <f>IF($G$9=TRUE,IF($C114="DUCTED",VLOOKUP($G114,'DX-Data'!$H$5:$J$11,3,TRUE),IF($C114="DECORATIVE",VLOOKUP($G114,'DX-Data'!$H$19:$J$23,3,TRUE),IF($C114="PACKAGED",VLOOKUP($G114,'DX-Data'!$H$24:$J$30,3,TRUE),IF($C114="DUCTED-INV",VLOOKUP($G114,'DX-Data'!$H$12:$J$18,3,TRUE),"CHOOSE AC TYPE")))),"NO SELECTION")</f>
        <v>NO SELECTION</v>
      </c>
      <c r="AJ114" s="77" t="str">
        <f>IF($E114="","",IF($C114="DUCTED",VLOOKUP($E114,'DX-Data'!$D$5:$J$11,6,TRUE),IF($C114="DECORATIVE",VLOOKUP($E114,'DX-Data'!$D$19:$J$23,6,TRUE),IF($C114="PACKAGED",VLOOKUP($E114,'DX-Data'!$D$24:$J$30,6,TRUE),IF($C114="DUCTED-INV",VLOOKUP($E114,'DX-Data'!$D$12:$J$18,6,TRUE),0)))))</f>
        <v/>
      </c>
      <c r="AK114" s="77" t="str">
        <f>IF($F$9=TRUE,IF($C114="DUCTED",VLOOKUP($F114,'DX-Data'!$F$5:$J$11,4,TRUE),IF($C114="DECORATIVE",VLOOKUP($F114,'DX-Data'!$F$19:$J$23,4,TRUE),IF($C114="PACKAGED",VLOOKUP($F114,'DX-Data'!$F$24:$J$30,4,TRUE),IF($C114="DUCTED-INV",VLOOKUP($F114,'DX-Data'!$F$12:$J$18,4,TRUE),"CHOOSE AC TYPE")))),0)</f>
        <v>CHOOSE AC TYPE</v>
      </c>
      <c r="AL114" s="77">
        <f>IF($G$9=TRUE,IF($C114="DUCTED",VLOOKUP($G114,'DX-Data'!$H$5:$J$11,2,TRUE),IF($C114="DECORATIVE",VLOOKUP($G114,'DX-Data'!$H$19:$J$23,2,TRUE),IF($C114="PACKAGED",VLOOKUP($G114,'DX-Data'!$H$24:$J$30,2,TRUE),IF($C114="DUCTED-INV",VLOOKUP($G114,'DX-Data'!$H$12:$J$18,2,TRUE),"CHOOSE AC TYPE")))),0)</f>
        <v>0</v>
      </c>
      <c r="AM114" s="77">
        <f t="shared" si="11"/>
        <v>0</v>
      </c>
      <c r="AN114" s="76" t="str">
        <f>IF(E114="","",VLOOKUP($AM114,'DX-Data'!$I$5:$J$31,2,FALSE))</f>
        <v/>
      </c>
      <c r="AO114" s="77" t="str">
        <f t="shared" si="12"/>
        <v/>
      </c>
    </row>
    <row r="115" spans="2:41" hidden="1" x14ac:dyDescent="0.3">
      <c r="B115" s="71"/>
      <c r="C115" s="26"/>
      <c r="D115" s="27"/>
      <c r="E115" s="26"/>
      <c r="F115" s="26"/>
      <c r="G115" s="82"/>
      <c r="H115" s="74" t="str">
        <f t="shared" si="9"/>
        <v/>
      </c>
      <c r="I115" s="2" t="str">
        <f t="shared" si="10"/>
        <v/>
      </c>
      <c r="J115" s="21" t="str">
        <f>IF($H115="","",VLOOKUP($H115,Data!$C$6:$Y$29,2,FALSE))</f>
        <v/>
      </c>
      <c r="K115" s="2" t="str">
        <f>IF($H115="","",VLOOKUP($H115,Data!$C$6:$Y$29,3,FALSE))</f>
        <v/>
      </c>
      <c r="L115" s="2" t="str">
        <f>IF($H115="","",VLOOKUP($H115,Data!$C$6:$Y$29,4,FALSE))</f>
        <v/>
      </c>
      <c r="M115" s="2" t="str">
        <f>IF($H115="","",VLOOKUP($H115,Data!$C$6:$Y$29,5,FALSE))</f>
        <v/>
      </c>
      <c r="N115" s="2" t="str">
        <f>IF($H115="","",VLOOKUP($H115,Data!$C$6:$Y$29,6,FALSE))</f>
        <v/>
      </c>
      <c r="O115" s="2" t="str">
        <f>IF($H115="","",VLOOKUP($H115,Data!$C$6:$Y$29,7,FALSE))</f>
        <v/>
      </c>
      <c r="P115" s="2" t="str">
        <f>IF($H115="","",VLOOKUP($H115,Data!$C$6:$Y$29,8,FALSE))</f>
        <v/>
      </c>
      <c r="Q115" s="2" t="str">
        <f>IF($H115="","",VLOOKUP($H115,Data!$C$6:$Y$29,9,FALSE))</f>
        <v/>
      </c>
      <c r="R115" s="2" t="str">
        <f>IF($H115="","",VLOOKUP($H115,Data!$C$6:$Y$29,10,FALSE))</f>
        <v/>
      </c>
      <c r="S115" s="2" t="str">
        <f>IF($H115="","",VLOOKUP($H115,Data!$C$6:$Y$29,11,FALSE))</f>
        <v/>
      </c>
      <c r="T115" s="2" t="str">
        <f>IF($H115="","",VLOOKUP($H115,Data!$C$6:$Y$29,12,FALSE))</f>
        <v/>
      </c>
      <c r="U115" s="2" t="str">
        <f>IF($H115="","",VLOOKUP($H115,Data!$C$6:$Y$29,13,FALSE))</f>
        <v/>
      </c>
      <c r="V115" s="2" t="str">
        <f>IF($H115="","",VLOOKUP($H115,Data!$C$6:$Y$29,14,FALSE))</f>
        <v/>
      </c>
      <c r="W115" s="2" t="str">
        <f>IF($H115="","",VLOOKUP($H115,Data!$C$6:$Y$29,15,FALSE))</f>
        <v/>
      </c>
      <c r="X115" s="2" t="str">
        <f>IF($H115="","",VLOOKUP($H115,Data!$C$6:$Y$29,16,FALSE))</f>
        <v/>
      </c>
      <c r="Y115" s="2" t="str">
        <f>IF($H115="","",VLOOKUP($H115,Data!$C$6:$Y$29,17,FALSE))</f>
        <v/>
      </c>
      <c r="Z115" s="2" t="str">
        <f>IF($H115="","",VLOOKUP($H115,Data!$C$6:$Y$29,18,FALSE))</f>
        <v/>
      </c>
      <c r="AA115" s="2" t="str">
        <f>IF($H115="","",VLOOKUP($H115,Data!$C$6:$Y$29,19,FALSE))</f>
        <v/>
      </c>
      <c r="AB115" s="2" t="str">
        <f>IF($H115="","",VLOOKUP($H115,Data!$C$6:$Y$29,20,FALSE))</f>
        <v/>
      </c>
      <c r="AC115" s="2" t="str">
        <f>IF($H115="","",VLOOKUP($H115,Data!$C$6:$Y$29,21,FALSE))</f>
        <v/>
      </c>
      <c r="AD115" s="2" t="str">
        <f>IF($H115="","",VLOOKUP($H115,Data!$C$6:$Y$29,22,FALSE))</f>
        <v/>
      </c>
      <c r="AE115" s="3" t="str">
        <f>IF($H115="","",VLOOKUP($H115,Data!$C$6:$Y$29,23,FALSE))</f>
        <v/>
      </c>
      <c r="AG115" s="76" t="str">
        <f>IF($E115="","",IF($C115="DUCTED",VLOOKUP($E115,'DX-Data'!$D$5:$J$11,7,TRUE),IF($C115="DECORATIVE",VLOOKUP($E115,'DX-Data'!$D$19:$J$23,7,TRUE),IF($C115="PACKAGED",VLOOKUP($E115,'DX-Data'!$D$24:$J$30,7,TRUE),IF($C115="DUCTED-INV",VLOOKUP($E115,'DX-Data'!$D$12:$J$18,7,TRUE),"CHOOSE AC TYPE")))))</f>
        <v/>
      </c>
      <c r="AH115" s="76" t="str">
        <f>IF($F$9=TRUE,IF($C115="DUCTED",VLOOKUP($F115,'DX-Data'!$F$5:$J$11,5,TRUE),IF($C115="DECORATIVE",VLOOKUP($F115,'DX-Data'!$F$19:$J$23,5,TRUE),IF($C115="PACKAGED",VLOOKUP($F115,'DX-Data'!$F$24:$J$30,5,TRUE),IF($C115="DUCTED-INV",VLOOKUP($F115,'DX-Data'!$F$12:$J$18,5,TRUE),"CHOOSE AC TYPE")))),"NO SELECTION")</f>
        <v>CHOOSE AC TYPE</v>
      </c>
      <c r="AI115" s="76" t="str">
        <f>IF($G$9=TRUE,IF($C115="DUCTED",VLOOKUP($G115,'DX-Data'!$H$5:$J$11,3,TRUE),IF($C115="DECORATIVE",VLOOKUP($G115,'DX-Data'!$H$19:$J$23,3,TRUE),IF($C115="PACKAGED",VLOOKUP($G115,'DX-Data'!$H$24:$J$30,3,TRUE),IF($C115="DUCTED-INV",VLOOKUP($G115,'DX-Data'!$H$12:$J$18,3,TRUE),"CHOOSE AC TYPE")))),"NO SELECTION")</f>
        <v>NO SELECTION</v>
      </c>
      <c r="AJ115" s="77" t="str">
        <f>IF($E115="","",IF($C115="DUCTED",VLOOKUP($E115,'DX-Data'!$D$5:$J$11,6,TRUE),IF($C115="DECORATIVE",VLOOKUP($E115,'DX-Data'!$D$19:$J$23,6,TRUE),IF($C115="PACKAGED",VLOOKUP($E115,'DX-Data'!$D$24:$J$30,6,TRUE),IF($C115="DUCTED-INV",VLOOKUP($E115,'DX-Data'!$D$12:$J$18,6,TRUE),0)))))</f>
        <v/>
      </c>
      <c r="AK115" s="77" t="str">
        <f>IF($F$9=TRUE,IF($C115="DUCTED",VLOOKUP($F115,'DX-Data'!$F$5:$J$11,4,TRUE),IF($C115="DECORATIVE",VLOOKUP($F115,'DX-Data'!$F$19:$J$23,4,TRUE),IF($C115="PACKAGED",VLOOKUP($F115,'DX-Data'!$F$24:$J$30,4,TRUE),IF($C115="DUCTED-INV",VLOOKUP($F115,'DX-Data'!$F$12:$J$18,4,TRUE),"CHOOSE AC TYPE")))),0)</f>
        <v>CHOOSE AC TYPE</v>
      </c>
      <c r="AL115" s="77">
        <f>IF($G$9=TRUE,IF($C115="DUCTED",VLOOKUP($G115,'DX-Data'!$H$5:$J$11,2,TRUE),IF($C115="DECORATIVE",VLOOKUP($G115,'DX-Data'!$H$19:$J$23,2,TRUE),IF($C115="PACKAGED",VLOOKUP($G115,'DX-Data'!$H$24:$J$30,2,TRUE),IF($C115="DUCTED-INV",VLOOKUP($G115,'DX-Data'!$H$12:$J$18,2,TRUE),"CHOOSE AC TYPE")))),0)</f>
        <v>0</v>
      </c>
      <c r="AM115" s="77">
        <f t="shared" si="11"/>
        <v>0</v>
      </c>
      <c r="AN115" s="76" t="str">
        <f>IF(E115="","",VLOOKUP($AM115,'DX-Data'!$I$5:$J$31,2,FALSE))</f>
        <v/>
      </c>
      <c r="AO115" s="77" t="str">
        <f t="shared" si="12"/>
        <v/>
      </c>
    </row>
    <row r="116" spans="2:41" hidden="1" x14ac:dyDescent="0.3">
      <c r="B116" s="71"/>
      <c r="C116" s="26"/>
      <c r="D116" s="27"/>
      <c r="E116" s="26"/>
      <c r="F116" s="26"/>
      <c r="G116" s="82"/>
      <c r="H116" s="74" t="str">
        <f t="shared" si="9"/>
        <v/>
      </c>
      <c r="I116" s="2" t="str">
        <f t="shared" si="10"/>
        <v/>
      </c>
      <c r="J116" s="21" t="str">
        <f>IF($H116="","",VLOOKUP($H116,Data!$C$6:$Y$29,2,FALSE))</f>
        <v/>
      </c>
      <c r="K116" s="2" t="str">
        <f>IF($H116="","",VLOOKUP($H116,Data!$C$6:$Y$29,3,FALSE))</f>
        <v/>
      </c>
      <c r="L116" s="2" t="str">
        <f>IF($H116="","",VLOOKUP($H116,Data!$C$6:$Y$29,4,FALSE))</f>
        <v/>
      </c>
      <c r="M116" s="2" t="str">
        <f>IF($H116="","",VLOOKUP($H116,Data!$C$6:$Y$29,5,FALSE))</f>
        <v/>
      </c>
      <c r="N116" s="2" t="str">
        <f>IF($H116="","",VLOOKUP($H116,Data!$C$6:$Y$29,6,FALSE))</f>
        <v/>
      </c>
      <c r="O116" s="2" t="str">
        <f>IF($H116="","",VLOOKUP($H116,Data!$C$6:$Y$29,7,FALSE))</f>
        <v/>
      </c>
      <c r="P116" s="2" t="str">
        <f>IF($H116="","",VLOOKUP($H116,Data!$C$6:$Y$29,8,FALSE))</f>
        <v/>
      </c>
      <c r="Q116" s="2" t="str">
        <f>IF($H116="","",VLOOKUP($H116,Data!$C$6:$Y$29,9,FALSE))</f>
        <v/>
      </c>
      <c r="R116" s="2" t="str">
        <f>IF($H116="","",VLOOKUP($H116,Data!$C$6:$Y$29,10,FALSE))</f>
        <v/>
      </c>
      <c r="S116" s="2" t="str">
        <f>IF($H116="","",VLOOKUP($H116,Data!$C$6:$Y$29,11,FALSE))</f>
        <v/>
      </c>
      <c r="T116" s="2" t="str">
        <f>IF($H116="","",VLOOKUP($H116,Data!$C$6:$Y$29,12,FALSE))</f>
        <v/>
      </c>
      <c r="U116" s="2" t="str">
        <f>IF($H116="","",VLOOKUP($H116,Data!$C$6:$Y$29,13,FALSE))</f>
        <v/>
      </c>
      <c r="V116" s="2" t="str">
        <f>IF($H116="","",VLOOKUP($H116,Data!$C$6:$Y$29,14,FALSE))</f>
        <v/>
      </c>
      <c r="W116" s="2" t="str">
        <f>IF($H116="","",VLOOKUP($H116,Data!$C$6:$Y$29,15,FALSE))</f>
        <v/>
      </c>
      <c r="X116" s="2" t="str">
        <f>IF($H116="","",VLOOKUP($H116,Data!$C$6:$Y$29,16,FALSE))</f>
        <v/>
      </c>
      <c r="Y116" s="2" t="str">
        <f>IF($H116="","",VLOOKUP($H116,Data!$C$6:$Y$29,17,FALSE))</f>
        <v/>
      </c>
      <c r="Z116" s="2" t="str">
        <f>IF($H116="","",VLOOKUP($H116,Data!$C$6:$Y$29,18,FALSE))</f>
        <v/>
      </c>
      <c r="AA116" s="2" t="str">
        <f>IF($H116="","",VLOOKUP($H116,Data!$C$6:$Y$29,19,FALSE))</f>
        <v/>
      </c>
      <c r="AB116" s="2" t="str">
        <f>IF($H116="","",VLOOKUP($H116,Data!$C$6:$Y$29,20,FALSE))</f>
        <v/>
      </c>
      <c r="AC116" s="2" t="str">
        <f>IF($H116="","",VLOOKUP($H116,Data!$C$6:$Y$29,21,FALSE))</f>
        <v/>
      </c>
      <c r="AD116" s="2" t="str">
        <f>IF($H116="","",VLOOKUP($H116,Data!$C$6:$Y$29,22,FALSE))</f>
        <v/>
      </c>
      <c r="AE116" s="3" t="str">
        <f>IF($H116="","",VLOOKUP($H116,Data!$C$6:$Y$29,23,FALSE))</f>
        <v/>
      </c>
      <c r="AG116" s="76" t="str">
        <f>IF($E116="","",IF($C116="DUCTED",VLOOKUP($E116,'DX-Data'!$D$5:$J$11,7,TRUE),IF($C116="DECORATIVE",VLOOKUP($E116,'DX-Data'!$D$19:$J$23,7,TRUE),IF($C116="PACKAGED",VLOOKUP($E116,'DX-Data'!$D$24:$J$30,7,TRUE),IF($C116="DUCTED-INV",VLOOKUP($E116,'DX-Data'!$D$12:$J$18,7,TRUE),"CHOOSE AC TYPE")))))</f>
        <v/>
      </c>
      <c r="AH116" s="76" t="str">
        <f>IF($F$9=TRUE,IF($C116="DUCTED",VLOOKUP($F116,'DX-Data'!$F$5:$J$11,5,TRUE),IF($C116="DECORATIVE",VLOOKUP($F116,'DX-Data'!$F$19:$J$23,5,TRUE),IF($C116="PACKAGED",VLOOKUP($F116,'DX-Data'!$F$24:$J$30,5,TRUE),IF($C116="DUCTED-INV",VLOOKUP($F116,'DX-Data'!$F$12:$J$18,5,TRUE),"CHOOSE AC TYPE")))),"NO SELECTION")</f>
        <v>CHOOSE AC TYPE</v>
      </c>
      <c r="AI116" s="76" t="str">
        <f>IF($G$9=TRUE,IF($C116="DUCTED",VLOOKUP($G116,'DX-Data'!$H$5:$J$11,3,TRUE),IF($C116="DECORATIVE",VLOOKUP($G116,'DX-Data'!$H$19:$J$23,3,TRUE),IF($C116="PACKAGED",VLOOKUP($G116,'DX-Data'!$H$24:$J$30,3,TRUE),IF($C116="DUCTED-INV",VLOOKUP($G116,'DX-Data'!$H$12:$J$18,3,TRUE),"CHOOSE AC TYPE")))),"NO SELECTION")</f>
        <v>NO SELECTION</v>
      </c>
      <c r="AJ116" s="77" t="str">
        <f>IF($E116="","",IF($C116="DUCTED",VLOOKUP($E116,'DX-Data'!$D$5:$J$11,6,TRUE),IF($C116="DECORATIVE",VLOOKUP($E116,'DX-Data'!$D$19:$J$23,6,TRUE),IF($C116="PACKAGED",VLOOKUP($E116,'DX-Data'!$D$24:$J$30,6,TRUE),IF($C116="DUCTED-INV",VLOOKUP($E116,'DX-Data'!$D$12:$J$18,6,TRUE),0)))))</f>
        <v/>
      </c>
      <c r="AK116" s="77" t="str">
        <f>IF($F$9=TRUE,IF($C116="DUCTED",VLOOKUP($F116,'DX-Data'!$F$5:$J$11,4,TRUE),IF($C116="DECORATIVE",VLOOKUP($F116,'DX-Data'!$F$19:$J$23,4,TRUE),IF($C116="PACKAGED",VLOOKUP($F116,'DX-Data'!$F$24:$J$30,4,TRUE),IF($C116="DUCTED-INV",VLOOKUP($F116,'DX-Data'!$F$12:$J$18,4,TRUE),"CHOOSE AC TYPE")))),0)</f>
        <v>CHOOSE AC TYPE</v>
      </c>
      <c r="AL116" s="77">
        <f>IF($G$9=TRUE,IF($C116="DUCTED",VLOOKUP($G116,'DX-Data'!$H$5:$J$11,2,TRUE),IF($C116="DECORATIVE",VLOOKUP($G116,'DX-Data'!$H$19:$J$23,2,TRUE),IF($C116="PACKAGED",VLOOKUP($G116,'DX-Data'!$H$24:$J$30,2,TRUE),IF($C116="DUCTED-INV",VLOOKUP($G116,'DX-Data'!$H$12:$J$18,2,TRUE),"CHOOSE AC TYPE")))),0)</f>
        <v>0</v>
      </c>
      <c r="AM116" s="77">
        <f t="shared" si="11"/>
        <v>0</v>
      </c>
      <c r="AN116" s="76" t="str">
        <f>IF(E116="","",VLOOKUP($AM116,'DX-Data'!$I$5:$J$31,2,FALSE))</f>
        <v/>
      </c>
      <c r="AO116" s="77" t="str">
        <f t="shared" si="12"/>
        <v/>
      </c>
    </row>
    <row r="117" spans="2:41" hidden="1" x14ac:dyDescent="0.3">
      <c r="B117" s="71"/>
      <c r="C117" s="26"/>
      <c r="D117" s="27"/>
      <c r="E117" s="26"/>
      <c r="F117" s="26"/>
      <c r="G117" s="82"/>
      <c r="H117" s="74" t="str">
        <f t="shared" si="9"/>
        <v/>
      </c>
      <c r="I117" s="2" t="str">
        <f t="shared" si="10"/>
        <v/>
      </c>
      <c r="J117" s="21" t="str">
        <f>IF($H117="","",VLOOKUP($H117,Data!$C$6:$Y$29,2,FALSE))</f>
        <v/>
      </c>
      <c r="K117" s="2" t="str">
        <f>IF($H117="","",VLOOKUP($H117,Data!$C$6:$Y$29,3,FALSE))</f>
        <v/>
      </c>
      <c r="L117" s="2" t="str">
        <f>IF($H117="","",VLOOKUP($H117,Data!$C$6:$Y$29,4,FALSE))</f>
        <v/>
      </c>
      <c r="M117" s="2" t="str">
        <f>IF($H117="","",VLOOKUP($H117,Data!$C$6:$Y$29,5,FALSE))</f>
        <v/>
      </c>
      <c r="N117" s="2" t="str">
        <f>IF($H117="","",VLOOKUP($H117,Data!$C$6:$Y$29,6,FALSE))</f>
        <v/>
      </c>
      <c r="O117" s="2" t="str">
        <f>IF($H117="","",VLOOKUP($H117,Data!$C$6:$Y$29,7,FALSE))</f>
        <v/>
      </c>
      <c r="P117" s="2" t="str">
        <f>IF($H117="","",VLOOKUP($H117,Data!$C$6:$Y$29,8,FALSE))</f>
        <v/>
      </c>
      <c r="Q117" s="2" t="str">
        <f>IF($H117="","",VLOOKUP($H117,Data!$C$6:$Y$29,9,FALSE))</f>
        <v/>
      </c>
      <c r="R117" s="2" t="str">
        <f>IF($H117="","",VLOOKUP($H117,Data!$C$6:$Y$29,10,FALSE))</f>
        <v/>
      </c>
      <c r="S117" s="2" t="str">
        <f>IF($H117="","",VLOOKUP($H117,Data!$C$6:$Y$29,11,FALSE))</f>
        <v/>
      </c>
      <c r="T117" s="2" t="str">
        <f>IF($H117="","",VLOOKUP($H117,Data!$C$6:$Y$29,12,FALSE))</f>
        <v/>
      </c>
      <c r="U117" s="2" t="str">
        <f>IF($H117="","",VLOOKUP($H117,Data!$C$6:$Y$29,13,FALSE))</f>
        <v/>
      </c>
      <c r="V117" s="2" t="str">
        <f>IF($H117="","",VLOOKUP($H117,Data!$C$6:$Y$29,14,FALSE))</f>
        <v/>
      </c>
      <c r="W117" s="2" t="str">
        <f>IF($H117="","",VLOOKUP($H117,Data!$C$6:$Y$29,15,FALSE))</f>
        <v/>
      </c>
      <c r="X117" s="2" t="str">
        <f>IF($H117="","",VLOOKUP($H117,Data!$C$6:$Y$29,16,FALSE))</f>
        <v/>
      </c>
      <c r="Y117" s="2" t="str">
        <f>IF($H117="","",VLOOKUP($H117,Data!$C$6:$Y$29,17,FALSE))</f>
        <v/>
      </c>
      <c r="Z117" s="2" t="str">
        <f>IF($H117="","",VLOOKUP($H117,Data!$C$6:$Y$29,18,FALSE))</f>
        <v/>
      </c>
      <c r="AA117" s="2" t="str">
        <f>IF($H117="","",VLOOKUP($H117,Data!$C$6:$Y$29,19,FALSE))</f>
        <v/>
      </c>
      <c r="AB117" s="2" t="str">
        <f>IF($H117="","",VLOOKUP($H117,Data!$C$6:$Y$29,20,FALSE))</f>
        <v/>
      </c>
      <c r="AC117" s="2" t="str">
        <f>IF($H117="","",VLOOKUP($H117,Data!$C$6:$Y$29,21,FALSE))</f>
        <v/>
      </c>
      <c r="AD117" s="2" t="str">
        <f>IF($H117="","",VLOOKUP($H117,Data!$C$6:$Y$29,22,FALSE))</f>
        <v/>
      </c>
      <c r="AE117" s="3" t="str">
        <f>IF($H117="","",VLOOKUP($H117,Data!$C$6:$Y$29,23,FALSE))</f>
        <v/>
      </c>
      <c r="AG117" s="76" t="str">
        <f>IF($E117="","",IF($C117="DUCTED",VLOOKUP($E117,'DX-Data'!$D$5:$J$11,7,TRUE),IF($C117="DECORATIVE",VLOOKUP($E117,'DX-Data'!$D$19:$J$23,7,TRUE),IF($C117="PACKAGED",VLOOKUP($E117,'DX-Data'!$D$24:$J$30,7,TRUE),IF($C117="DUCTED-INV",VLOOKUP($E117,'DX-Data'!$D$12:$J$18,7,TRUE),"CHOOSE AC TYPE")))))</f>
        <v/>
      </c>
      <c r="AH117" s="76" t="str">
        <f>IF($F$9=TRUE,IF($C117="DUCTED",VLOOKUP($F117,'DX-Data'!$F$5:$J$11,5,TRUE),IF($C117="DECORATIVE",VLOOKUP($F117,'DX-Data'!$F$19:$J$23,5,TRUE),IF($C117="PACKAGED",VLOOKUP($F117,'DX-Data'!$F$24:$J$30,5,TRUE),IF($C117="DUCTED-INV",VLOOKUP($F117,'DX-Data'!$F$12:$J$18,5,TRUE),"CHOOSE AC TYPE")))),"NO SELECTION")</f>
        <v>CHOOSE AC TYPE</v>
      </c>
      <c r="AI117" s="76" t="str">
        <f>IF($G$9=TRUE,IF($C117="DUCTED",VLOOKUP($G117,'DX-Data'!$H$5:$J$11,3,TRUE),IF($C117="DECORATIVE",VLOOKUP($G117,'DX-Data'!$H$19:$J$23,3,TRUE),IF($C117="PACKAGED",VLOOKUP($G117,'DX-Data'!$H$24:$J$30,3,TRUE),IF($C117="DUCTED-INV",VLOOKUP($G117,'DX-Data'!$H$12:$J$18,3,TRUE),"CHOOSE AC TYPE")))),"NO SELECTION")</f>
        <v>NO SELECTION</v>
      </c>
      <c r="AJ117" s="77" t="str">
        <f>IF($E117="","",IF($C117="DUCTED",VLOOKUP($E117,'DX-Data'!$D$5:$J$11,6,TRUE),IF($C117="DECORATIVE",VLOOKUP($E117,'DX-Data'!$D$19:$J$23,6,TRUE),IF($C117="PACKAGED",VLOOKUP($E117,'DX-Data'!$D$24:$J$30,6,TRUE),IF($C117="DUCTED-INV",VLOOKUP($E117,'DX-Data'!$D$12:$J$18,6,TRUE),0)))))</f>
        <v/>
      </c>
      <c r="AK117" s="77" t="str">
        <f>IF($F$9=TRUE,IF($C117="DUCTED",VLOOKUP($F117,'DX-Data'!$F$5:$J$11,4,TRUE),IF($C117="DECORATIVE",VLOOKUP($F117,'DX-Data'!$F$19:$J$23,4,TRUE),IF($C117="PACKAGED",VLOOKUP($F117,'DX-Data'!$F$24:$J$30,4,TRUE),IF($C117="DUCTED-INV",VLOOKUP($F117,'DX-Data'!$F$12:$J$18,4,TRUE),"CHOOSE AC TYPE")))),0)</f>
        <v>CHOOSE AC TYPE</v>
      </c>
      <c r="AL117" s="77">
        <f>IF($G$9=TRUE,IF($C117="DUCTED",VLOOKUP($G117,'DX-Data'!$H$5:$J$11,2,TRUE),IF($C117="DECORATIVE",VLOOKUP($G117,'DX-Data'!$H$19:$J$23,2,TRUE),IF($C117="PACKAGED",VLOOKUP($G117,'DX-Data'!$H$24:$J$30,2,TRUE),IF($C117="DUCTED-INV",VLOOKUP($G117,'DX-Data'!$H$12:$J$18,2,TRUE),"CHOOSE AC TYPE")))),0)</f>
        <v>0</v>
      </c>
      <c r="AM117" s="77">
        <f t="shared" si="11"/>
        <v>0</v>
      </c>
      <c r="AN117" s="76" t="str">
        <f>IF(E117="","",VLOOKUP($AM117,'DX-Data'!$I$5:$J$31,2,FALSE))</f>
        <v/>
      </c>
      <c r="AO117" s="77" t="str">
        <f t="shared" si="12"/>
        <v/>
      </c>
    </row>
    <row r="118" spans="2:41" hidden="1" x14ac:dyDescent="0.3">
      <c r="B118" s="71"/>
      <c r="C118" s="26"/>
      <c r="D118" s="27"/>
      <c r="E118" s="26"/>
      <c r="F118" s="26"/>
      <c r="G118" s="82"/>
      <c r="H118" s="74" t="str">
        <f t="shared" si="9"/>
        <v/>
      </c>
      <c r="I118" s="2" t="str">
        <f t="shared" si="10"/>
        <v/>
      </c>
      <c r="J118" s="21" t="str">
        <f>IF($H118="","",VLOOKUP($H118,Data!$C$6:$Y$29,2,FALSE))</f>
        <v/>
      </c>
      <c r="K118" s="2" t="str">
        <f>IF($H118="","",VLOOKUP($H118,Data!$C$6:$Y$29,3,FALSE))</f>
        <v/>
      </c>
      <c r="L118" s="2" t="str">
        <f>IF($H118="","",VLOOKUP($H118,Data!$C$6:$Y$29,4,FALSE))</f>
        <v/>
      </c>
      <c r="M118" s="2" t="str">
        <f>IF($H118="","",VLOOKUP($H118,Data!$C$6:$Y$29,5,FALSE))</f>
        <v/>
      </c>
      <c r="N118" s="2" t="str">
        <f>IF($H118="","",VLOOKUP($H118,Data!$C$6:$Y$29,6,FALSE))</f>
        <v/>
      </c>
      <c r="O118" s="2" t="str">
        <f>IF($H118="","",VLOOKUP($H118,Data!$C$6:$Y$29,7,FALSE))</f>
        <v/>
      </c>
      <c r="P118" s="2" t="str">
        <f>IF($H118="","",VLOOKUP($H118,Data!$C$6:$Y$29,8,FALSE))</f>
        <v/>
      </c>
      <c r="Q118" s="2" t="str">
        <f>IF($H118="","",VLOOKUP($H118,Data!$C$6:$Y$29,9,FALSE))</f>
        <v/>
      </c>
      <c r="R118" s="2" t="str">
        <f>IF($H118="","",VLOOKUP($H118,Data!$C$6:$Y$29,10,FALSE))</f>
        <v/>
      </c>
      <c r="S118" s="2" t="str">
        <f>IF($H118="","",VLOOKUP($H118,Data!$C$6:$Y$29,11,FALSE))</f>
        <v/>
      </c>
      <c r="T118" s="2" t="str">
        <f>IF($H118="","",VLOOKUP($H118,Data!$C$6:$Y$29,12,FALSE))</f>
        <v/>
      </c>
      <c r="U118" s="2" t="str">
        <f>IF($H118="","",VLOOKUP($H118,Data!$C$6:$Y$29,13,FALSE))</f>
        <v/>
      </c>
      <c r="V118" s="2" t="str">
        <f>IF($H118="","",VLOOKUP($H118,Data!$C$6:$Y$29,14,FALSE))</f>
        <v/>
      </c>
      <c r="W118" s="2" t="str">
        <f>IF($H118="","",VLOOKUP($H118,Data!$C$6:$Y$29,15,FALSE))</f>
        <v/>
      </c>
      <c r="X118" s="2" t="str">
        <f>IF($H118="","",VLOOKUP($H118,Data!$C$6:$Y$29,16,FALSE))</f>
        <v/>
      </c>
      <c r="Y118" s="2" t="str">
        <f>IF($H118="","",VLOOKUP($H118,Data!$C$6:$Y$29,17,FALSE))</f>
        <v/>
      </c>
      <c r="Z118" s="2" t="str">
        <f>IF($H118="","",VLOOKUP($H118,Data!$C$6:$Y$29,18,FALSE))</f>
        <v/>
      </c>
      <c r="AA118" s="2" t="str">
        <f>IF($H118="","",VLOOKUP($H118,Data!$C$6:$Y$29,19,FALSE))</f>
        <v/>
      </c>
      <c r="AB118" s="2" t="str">
        <f>IF($H118="","",VLOOKUP($H118,Data!$C$6:$Y$29,20,FALSE))</f>
        <v/>
      </c>
      <c r="AC118" s="2" t="str">
        <f>IF($H118="","",VLOOKUP($H118,Data!$C$6:$Y$29,21,FALSE))</f>
        <v/>
      </c>
      <c r="AD118" s="2" t="str">
        <f>IF($H118="","",VLOOKUP($H118,Data!$C$6:$Y$29,22,FALSE))</f>
        <v/>
      </c>
      <c r="AE118" s="3" t="str">
        <f>IF($H118="","",VLOOKUP($H118,Data!$C$6:$Y$29,23,FALSE))</f>
        <v/>
      </c>
      <c r="AG118" s="76" t="str">
        <f>IF($E118="","",IF($C118="DUCTED",VLOOKUP($E118,'DX-Data'!$D$5:$J$11,7,TRUE),IF($C118="DECORATIVE",VLOOKUP($E118,'DX-Data'!$D$19:$J$23,7,TRUE),IF($C118="PACKAGED",VLOOKUP($E118,'DX-Data'!$D$24:$J$30,7,TRUE),IF($C118="DUCTED-INV",VLOOKUP($E118,'DX-Data'!$D$12:$J$18,7,TRUE),"CHOOSE AC TYPE")))))</f>
        <v/>
      </c>
      <c r="AH118" s="76" t="str">
        <f>IF($F$9=TRUE,IF($C118="DUCTED",VLOOKUP($F118,'DX-Data'!$F$5:$J$11,5,TRUE),IF($C118="DECORATIVE",VLOOKUP($F118,'DX-Data'!$F$19:$J$23,5,TRUE),IF($C118="PACKAGED",VLOOKUP($F118,'DX-Data'!$F$24:$J$30,5,TRUE),IF($C118="DUCTED-INV",VLOOKUP($F118,'DX-Data'!$F$12:$J$18,5,TRUE),"CHOOSE AC TYPE")))),"NO SELECTION")</f>
        <v>CHOOSE AC TYPE</v>
      </c>
      <c r="AI118" s="76" t="str">
        <f>IF($G$9=TRUE,IF($C118="DUCTED",VLOOKUP($G118,'DX-Data'!$H$5:$J$11,3,TRUE),IF($C118="DECORATIVE",VLOOKUP($G118,'DX-Data'!$H$19:$J$23,3,TRUE),IF($C118="PACKAGED",VLOOKUP($G118,'DX-Data'!$H$24:$J$30,3,TRUE),IF($C118="DUCTED-INV",VLOOKUP($G118,'DX-Data'!$H$12:$J$18,3,TRUE),"CHOOSE AC TYPE")))),"NO SELECTION")</f>
        <v>NO SELECTION</v>
      </c>
      <c r="AJ118" s="77" t="str">
        <f>IF($E118="","",IF($C118="DUCTED",VLOOKUP($E118,'DX-Data'!$D$5:$J$11,6,TRUE),IF($C118="DECORATIVE",VLOOKUP($E118,'DX-Data'!$D$19:$J$23,6,TRUE),IF($C118="PACKAGED",VLOOKUP($E118,'DX-Data'!$D$24:$J$30,6,TRUE),IF($C118="DUCTED-INV",VLOOKUP($E118,'DX-Data'!$D$12:$J$18,6,TRUE),0)))))</f>
        <v/>
      </c>
      <c r="AK118" s="77" t="str">
        <f>IF($F$9=TRUE,IF($C118="DUCTED",VLOOKUP($F118,'DX-Data'!$F$5:$J$11,4,TRUE),IF($C118="DECORATIVE",VLOOKUP($F118,'DX-Data'!$F$19:$J$23,4,TRUE),IF($C118="PACKAGED",VLOOKUP($F118,'DX-Data'!$F$24:$J$30,4,TRUE),IF($C118="DUCTED-INV",VLOOKUP($F118,'DX-Data'!$F$12:$J$18,4,TRUE),"CHOOSE AC TYPE")))),0)</f>
        <v>CHOOSE AC TYPE</v>
      </c>
      <c r="AL118" s="77">
        <f>IF($G$9=TRUE,IF($C118="DUCTED",VLOOKUP($G118,'DX-Data'!$H$5:$J$11,2,TRUE),IF($C118="DECORATIVE",VLOOKUP($G118,'DX-Data'!$H$19:$J$23,2,TRUE),IF($C118="PACKAGED",VLOOKUP($G118,'DX-Data'!$H$24:$J$30,2,TRUE),IF($C118="DUCTED-INV",VLOOKUP($G118,'DX-Data'!$H$12:$J$18,2,TRUE),"CHOOSE AC TYPE")))),0)</f>
        <v>0</v>
      </c>
      <c r="AM118" s="77">
        <f t="shared" si="11"/>
        <v>0</v>
      </c>
      <c r="AN118" s="76" t="str">
        <f>IF(E118="","",VLOOKUP($AM118,'DX-Data'!$I$5:$J$31,2,FALSE))</f>
        <v/>
      </c>
      <c r="AO118" s="77" t="str">
        <f t="shared" si="12"/>
        <v/>
      </c>
    </row>
    <row r="119" spans="2:41" hidden="1" x14ac:dyDescent="0.3">
      <c r="B119" s="71"/>
      <c r="C119" s="26"/>
      <c r="D119" s="27"/>
      <c r="E119" s="26"/>
      <c r="F119" s="26"/>
      <c r="G119" s="82"/>
      <c r="H119" s="74" t="str">
        <f t="shared" si="9"/>
        <v/>
      </c>
      <c r="I119" s="2" t="str">
        <f t="shared" si="10"/>
        <v/>
      </c>
      <c r="J119" s="21" t="str">
        <f>IF($H119="","",VLOOKUP($H119,Data!$C$6:$Y$29,2,FALSE))</f>
        <v/>
      </c>
      <c r="K119" s="2" t="str">
        <f>IF($H119="","",VLOOKUP($H119,Data!$C$6:$Y$29,3,FALSE))</f>
        <v/>
      </c>
      <c r="L119" s="2" t="str">
        <f>IF($H119="","",VLOOKUP($H119,Data!$C$6:$Y$29,4,FALSE))</f>
        <v/>
      </c>
      <c r="M119" s="2" t="str">
        <f>IF($H119="","",VLOOKUP($H119,Data!$C$6:$Y$29,5,FALSE))</f>
        <v/>
      </c>
      <c r="N119" s="2" t="str">
        <f>IF($H119="","",VLOOKUP($H119,Data!$C$6:$Y$29,6,FALSE))</f>
        <v/>
      </c>
      <c r="O119" s="2" t="str">
        <f>IF($H119="","",VLOOKUP($H119,Data!$C$6:$Y$29,7,FALSE))</f>
        <v/>
      </c>
      <c r="P119" s="2" t="str">
        <f>IF($H119="","",VLOOKUP($H119,Data!$C$6:$Y$29,8,FALSE))</f>
        <v/>
      </c>
      <c r="Q119" s="2" t="str">
        <f>IF($H119="","",VLOOKUP($H119,Data!$C$6:$Y$29,9,FALSE))</f>
        <v/>
      </c>
      <c r="R119" s="2" t="str">
        <f>IF($H119="","",VLOOKUP($H119,Data!$C$6:$Y$29,10,FALSE))</f>
        <v/>
      </c>
      <c r="S119" s="2" t="str">
        <f>IF($H119="","",VLOOKUP($H119,Data!$C$6:$Y$29,11,FALSE))</f>
        <v/>
      </c>
      <c r="T119" s="2" t="str">
        <f>IF($H119="","",VLOOKUP($H119,Data!$C$6:$Y$29,12,FALSE))</f>
        <v/>
      </c>
      <c r="U119" s="2" t="str">
        <f>IF($H119="","",VLOOKUP($H119,Data!$C$6:$Y$29,13,FALSE))</f>
        <v/>
      </c>
      <c r="V119" s="2" t="str">
        <f>IF($H119="","",VLOOKUP($H119,Data!$C$6:$Y$29,14,FALSE))</f>
        <v/>
      </c>
      <c r="W119" s="2" t="str">
        <f>IF($H119="","",VLOOKUP($H119,Data!$C$6:$Y$29,15,FALSE))</f>
        <v/>
      </c>
      <c r="X119" s="2" t="str">
        <f>IF($H119="","",VLOOKUP($H119,Data!$C$6:$Y$29,16,FALSE))</f>
        <v/>
      </c>
      <c r="Y119" s="2" t="str">
        <f>IF($H119="","",VLOOKUP($H119,Data!$C$6:$Y$29,17,FALSE))</f>
        <v/>
      </c>
      <c r="Z119" s="2" t="str">
        <f>IF($H119="","",VLOOKUP($H119,Data!$C$6:$Y$29,18,FALSE))</f>
        <v/>
      </c>
      <c r="AA119" s="2" t="str">
        <f>IF($H119="","",VLOOKUP($H119,Data!$C$6:$Y$29,19,FALSE))</f>
        <v/>
      </c>
      <c r="AB119" s="2" t="str">
        <f>IF($H119="","",VLOOKUP($H119,Data!$C$6:$Y$29,20,FALSE))</f>
        <v/>
      </c>
      <c r="AC119" s="2" t="str">
        <f>IF($H119="","",VLOOKUP($H119,Data!$C$6:$Y$29,21,FALSE))</f>
        <v/>
      </c>
      <c r="AD119" s="2" t="str">
        <f>IF($H119="","",VLOOKUP($H119,Data!$C$6:$Y$29,22,FALSE))</f>
        <v/>
      </c>
      <c r="AE119" s="3" t="str">
        <f>IF($H119="","",VLOOKUP($H119,Data!$C$6:$Y$29,23,FALSE))</f>
        <v/>
      </c>
      <c r="AG119" s="76" t="str">
        <f>IF($E119="","",IF($C119="DUCTED",VLOOKUP($E119,'DX-Data'!$D$5:$J$11,7,TRUE),IF($C119="DECORATIVE",VLOOKUP($E119,'DX-Data'!$D$19:$J$23,7,TRUE),IF($C119="PACKAGED",VLOOKUP($E119,'DX-Data'!$D$24:$J$30,7,TRUE),IF($C119="DUCTED-INV",VLOOKUP($E119,'DX-Data'!$D$12:$J$18,7,TRUE),"CHOOSE AC TYPE")))))</f>
        <v/>
      </c>
      <c r="AH119" s="76" t="str">
        <f>IF($F$9=TRUE,IF($C119="DUCTED",VLOOKUP($F119,'DX-Data'!$F$5:$J$11,5,TRUE),IF($C119="DECORATIVE",VLOOKUP($F119,'DX-Data'!$F$19:$J$23,5,TRUE),IF($C119="PACKAGED",VLOOKUP($F119,'DX-Data'!$F$24:$J$30,5,TRUE),IF($C119="DUCTED-INV",VLOOKUP($F119,'DX-Data'!$F$12:$J$18,5,TRUE),"CHOOSE AC TYPE")))),"NO SELECTION")</f>
        <v>CHOOSE AC TYPE</v>
      </c>
      <c r="AI119" s="76" t="str">
        <f>IF($G$9=TRUE,IF($C119="DUCTED",VLOOKUP($G119,'DX-Data'!$H$5:$J$11,3,TRUE),IF($C119="DECORATIVE",VLOOKUP($G119,'DX-Data'!$H$19:$J$23,3,TRUE),IF($C119="PACKAGED",VLOOKUP($G119,'DX-Data'!$H$24:$J$30,3,TRUE),IF($C119="DUCTED-INV",VLOOKUP($G119,'DX-Data'!$H$12:$J$18,3,TRUE),"CHOOSE AC TYPE")))),"NO SELECTION")</f>
        <v>NO SELECTION</v>
      </c>
      <c r="AJ119" s="77" t="str">
        <f>IF($E119="","",IF($C119="DUCTED",VLOOKUP($E119,'DX-Data'!$D$5:$J$11,6,TRUE),IF($C119="DECORATIVE",VLOOKUP($E119,'DX-Data'!$D$19:$J$23,6,TRUE),IF($C119="PACKAGED",VLOOKUP($E119,'DX-Data'!$D$24:$J$30,6,TRUE),IF($C119="DUCTED-INV",VLOOKUP($E119,'DX-Data'!$D$12:$J$18,6,TRUE),0)))))</f>
        <v/>
      </c>
      <c r="AK119" s="77" t="str">
        <f>IF($F$9=TRUE,IF($C119="DUCTED",VLOOKUP($F119,'DX-Data'!$F$5:$J$11,4,TRUE),IF($C119="DECORATIVE",VLOOKUP($F119,'DX-Data'!$F$19:$J$23,4,TRUE),IF($C119="PACKAGED",VLOOKUP($F119,'DX-Data'!$F$24:$J$30,4,TRUE),IF($C119="DUCTED-INV",VLOOKUP($F119,'DX-Data'!$F$12:$J$18,4,TRUE),"CHOOSE AC TYPE")))),0)</f>
        <v>CHOOSE AC TYPE</v>
      </c>
      <c r="AL119" s="77">
        <f>IF($G$9=TRUE,IF($C119="DUCTED",VLOOKUP($G119,'DX-Data'!$H$5:$J$11,2,TRUE),IF($C119="DECORATIVE",VLOOKUP($G119,'DX-Data'!$H$19:$J$23,2,TRUE),IF($C119="PACKAGED",VLOOKUP($G119,'DX-Data'!$H$24:$J$30,2,TRUE),IF($C119="DUCTED-INV",VLOOKUP($G119,'DX-Data'!$H$12:$J$18,2,TRUE),"CHOOSE AC TYPE")))),0)</f>
        <v>0</v>
      </c>
      <c r="AM119" s="77">
        <f t="shared" si="11"/>
        <v>0</v>
      </c>
      <c r="AN119" s="76" t="str">
        <f>IF(E119="","",VLOOKUP($AM119,'DX-Data'!$I$5:$J$31,2,FALSE))</f>
        <v/>
      </c>
      <c r="AO119" s="77" t="str">
        <f t="shared" si="12"/>
        <v/>
      </c>
    </row>
    <row r="120" spans="2:41" hidden="1" x14ac:dyDescent="0.3">
      <c r="B120" s="71"/>
      <c r="C120" s="26"/>
      <c r="D120" s="27"/>
      <c r="E120" s="26"/>
      <c r="F120" s="26"/>
      <c r="G120" s="82"/>
      <c r="H120" s="74" t="str">
        <f t="shared" si="9"/>
        <v/>
      </c>
      <c r="I120" s="2" t="str">
        <f t="shared" si="10"/>
        <v/>
      </c>
      <c r="J120" s="21" t="str">
        <f>IF($H120="","",VLOOKUP($H120,Data!$C$6:$Y$29,2,FALSE))</f>
        <v/>
      </c>
      <c r="K120" s="2" t="str">
        <f>IF($H120="","",VLOOKUP($H120,Data!$C$6:$Y$29,3,FALSE))</f>
        <v/>
      </c>
      <c r="L120" s="2" t="str">
        <f>IF($H120="","",VLOOKUP($H120,Data!$C$6:$Y$29,4,FALSE))</f>
        <v/>
      </c>
      <c r="M120" s="2" t="str">
        <f>IF($H120="","",VLOOKUP($H120,Data!$C$6:$Y$29,5,FALSE))</f>
        <v/>
      </c>
      <c r="N120" s="2" t="str">
        <f>IF($H120="","",VLOOKUP($H120,Data!$C$6:$Y$29,6,FALSE))</f>
        <v/>
      </c>
      <c r="O120" s="2" t="str">
        <f>IF($H120="","",VLOOKUP($H120,Data!$C$6:$Y$29,7,FALSE))</f>
        <v/>
      </c>
      <c r="P120" s="2" t="str">
        <f>IF($H120="","",VLOOKUP($H120,Data!$C$6:$Y$29,8,FALSE))</f>
        <v/>
      </c>
      <c r="Q120" s="2" t="str">
        <f>IF($H120="","",VLOOKUP($H120,Data!$C$6:$Y$29,9,FALSE))</f>
        <v/>
      </c>
      <c r="R120" s="2" t="str">
        <f>IF($H120="","",VLOOKUP($H120,Data!$C$6:$Y$29,10,FALSE))</f>
        <v/>
      </c>
      <c r="S120" s="2" t="str">
        <f>IF($H120="","",VLOOKUP($H120,Data!$C$6:$Y$29,11,FALSE))</f>
        <v/>
      </c>
      <c r="T120" s="2" t="str">
        <f>IF($H120="","",VLOOKUP($H120,Data!$C$6:$Y$29,12,FALSE))</f>
        <v/>
      </c>
      <c r="U120" s="2" t="str">
        <f>IF($H120="","",VLOOKUP($H120,Data!$C$6:$Y$29,13,FALSE))</f>
        <v/>
      </c>
      <c r="V120" s="2" t="str">
        <f>IF($H120="","",VLOOKUP($H120,Data!$C$6:$Y$29,14,FALSE))</f>
        <v/>
      </c>
      <c r="W120" s="2" t="str">
        <f>IF($H120="","",VLOOKUP($H120,Data!$C$6:$Y$29,15,FALSE))</f>
        <v/>
      </c>
      <c r="X120" s="2" t="str">
        <f>IF($H120="","",VLOOKUP($H120,Data!$C$6:$Y$29,16,FALSE))</f>
        <v/>
      </c>
      <c r="Y120" s="2" t="str">
        <f>IF($H120="","",VLOOKUP($H120,Data!$C$6:$Y$29,17,FALSE))</f>
        <v/>
      </c>
      <c r="Z120" s="2" t="str">
        <f>IF($H120="","",VLOOKUP($H120,Data!$C$6:$Y$29,18,FALSE))</f>
        <v/>
      </c>
      <c r="AA120" s="2" t="str">
        <f>IF($H120="","",VLOOKUP($H120,Data!$C$6:$Y$29,19,FALSE))</f>
        <v/>
      </c>
      <c r="AB120" s="2" t="str">
        <f>IF($H120="","",VLOOKUP($H120,Data!$C$6:$Y$29,20,FALSE))</f>
        <v/>
      </c>
      <c r="AC120" s="2" t="str">
        <f>IF($H120="","",VLOOKUP($H120,Data!$C$6:$Y$29,21,FALSE))</f>
        <v/>
      </c>
      <c r="AD120" s="2" t="str">
        <f>IF($H120="","",VLOOKUP($H120,Data!$C$6:$Y$29,22,FALSE))</f>
        <v/>
      </c>
      <c r="AE120" s="3" t="str">
        <f>IF($H120="","",VLOOKUP($H120,Data!$C$6:$Y$29,23,FALSE))</f>
        <v/>
      </c>
      <c r="AG120" s="76" t="str">
        <f>IF($E120="","",IF($C120="DUCTED",VLOOKUP($E120,'DX-Data'!$D$5:$J$11,7,TRUE),IF($C120="DECORATIVE",VLOOKUP($E120,'DX-Data'!$D$19:$J$23,7,TRUE),IF($C120="PACKAGED",VLOOKUP($E120,'DX-Data'!$D$24:$J$30,7,TRUE),IF($C120="DUCTED-INV",VLOOKUP($E120,'DX-Data'!$D$12:$J$18,7,TRUE),"CHOOSE AC TYPE")))))</f>
        <v/>
      </c>
      <c r="AH120" s="76" t="str">
        <f>IF($F$9=TRUE,IF($C120="DUCTED",VLOOKUP($F120,'DX-Data'!$F$5:$J$11,5,TRUE),IF($C120="DECORATIVE",VLOOKUP($F120,'DX-Data'!$F$19:$J$23,5,TRUE),IF($C120="PACKAGED",VLOOKUP($F120,'DX-Data'!$F$24:$J$30,5,TRUE),IF($C120="DUCTED-INV",VLOOKUP($F120,'DX-Data'!$F$12:$J$18,5,TRUE),"CHOOSE AC TYPE")))),"NO SELECTION")</f>
        <v>CHOOSE AC TYPE</v>
      </c>
      <c r="AI120" s="76" t="str">
        <f>IF($G$9=TRUE,IF($C120="DUCTED",VLOOKUP($G120,'DX-Data'!$H$5:$J$11,3,TRUE),IF($C120="DECORATIVE",VLOOKUP($G120,'DX-Data'!$H$19:$J$23,3,TRUE),IF($C120="PACKAGED",VLOOKUP($G120,'DX-Data'!$H$24:$J$30,3,TRUE),IF($C120="DUCTED-INV",VLOOKUP($G120,'DX-Data'!$H$12:$J$18,3,TRUE),"CHOOSE AC TYPE")))),"NO SELECTION")</f>
        <v>NO SELECTION</v>
      </c>
      <c r="AJ120" s="77" t="str">
        <f>IF($E120="","",IF($C120="DUCTED",VLOOKUP($E120,'DX-Data'!$D$5:$J$11,6,TRUE),IF($C120="DECORATIVE",VLOOKUP($E120,'DX-Data'!$D$19:$J$23,6,TRUE),IF($C120="PACKAGED",VLOOKUP($E120,'DX-Data'!$D$24:$J$30,6,TRUE),IF($C120="DUCTED-INV",VLOOKUP($E120,'DX-Data'!$D$12:$J$18,6,TRUE),0)))))</f>
        <v/>
      </c>
      <c r="AK120" s="77" t="str">
        <f>IF($F$9=TRUE,IF($C120="DUCTED",VLOOKUP($F120,'DX-Data'!$F$5:$J$11,4,TRUE),IF($C120="DECORATIVE",VLOOKUP($F120,'DX-Data'!$F$19:$J$23,4,TRUE),IF($C120="PACKAGED",VLOOKUP($F120,'DX-Data'!$F$24:$J$30,4,TRUE),IF($C120="DUCTED-INV",VLOOKUP($F120,'DX-Data'!$F$12:$J$18,4,TRUE),"CHOOSE AC TYPE")))),0)</f>
        <v>CHOOSE AC TYPE</v>
      </c>
      <c r="AL120" s="77">
        <f>IF($G$9=TRUE,IF($C120="DUCTED",VLOOKUP($G120,'DX-Data'!$H$5:$J$11,2,TRUE),IF($C120="DECORATIVE",VLOOKUP($G120,'DX-Data'!$H$19:$J$23,2,TRUE),IF($C120="PACKAGED",VLOOKUP($G120,'DX-Data'!$H$24:$J$30,2,TRUE),IF($C120="DUCTED-INV",VLOOKUP($G120,'DX-Data'!$H$12:$J$18,2,TRUE),"CHOOSE AC TYPE")))),0)</f>
        <v>0</v>
      </c>
      <c r="AM120" s="77">
        <f t="shared" si="11"/>
        <v>0</v>
      </c>
      <c r="AN120" s="76" t="str">
        <f>IF(E120="","",VLOOKUP($AM120,'DX-Data'!$I$5:$J$31,2,FALSE))</f>
        <v/>
      </c>
      <c r="AO120" s="77" t="str">
        <f t="shared" si="12"/>
        <v/>
      </c>
    </row>
    <row r="121" spans="2:41" hidden="1" x14ac:dyDescent="0.3">
      <c r="B121" s="71"/>
      <c r="C121" s="26"/>
      <c r="D121" s="27"/>
      <c r="E121" s="26"/>
      <c r="F121" s="26"/>
      <c r="G121" s="82"/>
      <c r="H121" s="74" t="str">
        <f t="shared" si="9"/>
        <v/>
      </c>
      <c r="I121" s="2" t="str">
        <f t="shared" si="10"/>
        <v/>
      </c>
      <c r="J121" s="21" t="str">
        <f>IF($H121="","",VLOOKUP($H121,Data!$C$6:$Y$29,2,FALSE))</f>
        <v/>
      </c>
      <c r="K121" s="2" t="str">
        <f>IF($H121="","",VLOOKUP($H121,Data!$C$6:$Y$29,3,FALSE))</f>
        <v/>
      </c>
      <c r="L121" s="2" t="str">
        <f>IF($H121="","",VLOOKUP($H121,Data!$C$6:$Y$29,4,FALSE))</f>
        <v/>
      </c>
      <c r="M121" s="2" t="str">
        <f>IF($H121="","",VLOOKUP($H121,Data!$C$6:$Y$29,5,FALSE))</f>
        <v/>
      </c>
      <c r="N121" s="2" t="str">
        <f>IF($H121="","",VLOOKUP($H121,Data!$C$6:$Y$29,6,FALSE))</f>
        <v/>
      </c>
      <c r="O121" s="2" t="str">
        <f>IF($H121="","",VLOOKUP($H121,Data!$C$6:$Y$29,7,FALSE))</f>
        <v/>
      </c>
      <c r="P121" s="2" t="str">
        <f>IF($H121="","",VLOOKUP($H121,Data!$C$6:$Y$29,8,FALSE))</f>
        <v/>
      </c>
      <c r="Q121" s="2" t="str">
        <f>IF($H121="","",VLOOKUP($H121,Data!$C$6:$Y$29,9,FALSE))</f>
        <v/>
      </c>
      <c r="R121" s="2" t="str">
        <f>IF($H121="","",VLOOKUP($H121,Data!$C$6:$Y$29,10,FALSE))</f>
        <v/>
      </c>
      <c r="S121" s="2" t="str">
        <f>IF($H121="","",VLOOKUP($H121,Data!$C$6:$Y$29,11,FALSE))</f>
        <v/>
      </c>
      <c r="T121" s="2" t="str">
        <f>IF($H121="","",VLOOKUP($H121,Data!$C$6:$Y$29,12,FALSE))</f>
        <v/>
      </c>
      <c r="U121" s="2" t="str">
        <f>IF($H121="","",VLOOKUP($H121,Data!$C$6:$Y$29,13,FALSE))</f>
        <v/>
      </c>
      <c r="V121" s="2" t="str">
        <f>IF($H121="","",VLOOKUP($H121,Data!$C$6:$Y$29,14,FALSE))</f>
        <v/>
      </c>
      <c r="W121" s="2" t="str">
        <f>IF($H121="","",VLOOKUP($H121,Data!$C$6:$Y$29,15,FALSE))</f>
        <v/>
      </c>
      <c r="X121" s="2" t="str">
        <f>IF($H121="","",VLOOKUP($H121,Data!$C$6:$Y$29,16,FALSE))</f>
        <v/>
      </c>
      <c r="Y121" s="2" t="str">
        <f>IF($H121="","",VLOOKUP($H121,Data!$C$6:$Y$29,17,FALSE))</f>
        <v/>
      </c>
      <c r="Z121" s="2" t="str">
        <f>IF($H121="","",VLOOKUP($H121,Data!$C$6:$Y$29,18,FALSE))</f>
        <v/>
      </c>
      <c r="AA121" s="2" t="str">
        <f>IF($H121="","",VLOOKUP($H121,Data!$C$6:$Y$29,19,FALSE))</f>
        <v/>
      </c>
      <c r="AB121" s="2" t="str">
        <f>IF($H121="","",VLOOKUP($H121,Data!$C$6:$Y$29,20,FALSE))</f>
        <v/>
      </c>
      <c r="AC121" s="2" t="str">
        <f>IF($H121="","",VLOOKUP($H121,Data!$C$6:$Y$29,21,FALSE))</f>
        <v/>
      </c>
      <c r="AD121" s="2" t="str">
        <f>IF($H121="","",VLOOKUP($H121,Data!$C$6:$Y$29,22,FALSE))</f>
        <v/>
      </c>
      <c r="AE121" s="3" t="str">
        <f>IF($H121="","",VLOOKUP($H121,Data!$C$6:$Y$29,23,FALSE))</f>
        <v/>
      </c>
      <c r="AG121" s="76" t="str">
        <f>IF($E121="","",IF($C121="DUCTED",VLOOKUP($E121,'DX-Data'!$D$5:$J$11,7,TRUE),IF($C121="DECORATIVE",VLOOKUP($E121,'DX-Data'!$D$19:$J$23,7,TRUE),IF($C121="PACKAGED",VLOOKUP($E121,'DX-Data'!$D$24:$J$30,7,TRUE),IF($C121="DUCTED-INV",VLOOKUP($E121,'DX-Data'!$D$12:$J$18,7,TRUE),"CHOOSE AC TYPE")))))</f>
        <v/>
      </c>
      <c r="AH121" s="76" t="str">
        <f>IF($F$9=TRUE,IF($C121="DUCTED",VLOOKUP($F121,'DX-Data'!$F$5:$J$11,5,TRUE),IF($C121="DECORATIVE",VLOOKUP($F121,'DX-Data'!$F$19:$J$23,5,TRUE),IF($C121="PACKAGED",VLOOKUP($F121,'DX-Data'!$F$24:$J$30,5,TRUE),IF($C121="DUCTED-INV",VLOOKUP($F121,'DX-Data'!$F$12:$J$18,5,TRUE),"CHOOSE AC TYPE")))),"NO SELECTION")</f>
        <v>CHOOSE AC TYPE</v>
      </c>
      <c r="AI121" s="76" t="str">
        <f>IF($G$9=TRUE,IF($C121="DUCTED",VLOOKUP($G121,'DX-Data'!$H$5:$J$11,3,TRUE),IF($C121="DECORATIVE",VLOOKUP($G121,'DX-Data'!$H$19:$J$23,3,TRUE),IF($C121="PACKAGED",VLOOKUP($G121,'DX-Data'!$H$24:$J$30,3,TRUE),IF($C121="DUCTED-INV",VLOOKUP($G121,'DX-Data'!$H$12:$J$18,3,TRUE),"CHOOSE AC TYPE")))),"NO SELECTION")</f>
        <v>NO SELECTION</v>
      </c>
      <c r="AJ121" s="77" t="str">
        <f>IF($E121="","",IF($C121="DUCTED",VLOOKUP($E121,'DX-Data'!$D$5:$J$11,6,TRUE),IF($C121="DECORATIVE",VLOOKUP($E121,'DX-Data'!$D$19:$J$23,6,TRUE),IF($C121="PACKAGED",VLOOKUP($E121,'DX-Data'!$D$24:$J$30,6,TRUE),IF($C121="DUCTED-INV",VLOOKUP($E121,'DX-Data'!$D$12:$J$18,6,TRUE),0)))))</f>
        <v/>
      </c>
      <c r="AK121" s="77" t="str">
        <f>IF($F$9=TRUE,IF($C121="DUCTED",VLOOKUP($F121,'DX-Data'!$F$5:$J$11,4,TRUE),IF($C121="DECORATIVE",VLOOKUP($F121,'DX-Data'!$F$19:$J$23,4,TRUE),IF($C121="PACKAGED",VLOOKUP($F121,'DX-Data'!$F$24:$J$30,4,TRUE),IF($C121="DUCTED-INV",VLOOKUP($F121,'DX-Data'!$F$12:$J$18,4,TRUE),"CHOOSE AC TYPE")))),0)</f>
        <v>CHOOSE AC TYPE</v>
      </c>
      <c r="AL121" s="77">
        <f>IF($G$9=TRUE,IF($C121="DUCTED",VLOOKUP($G121,'DX-Data'!$H$5:$J$11,2,TRUE),IF($C121="DECORATIVE",VLOOKUP($G121,'DX-Data'!$H$19:$J$23,2,TRUE),IF($C121="PACKAGED",VLOOKUP($G121,'DX-Data'!$H$24:$J$30,2,TRUE),IF($C121="DUCTED-INV",VLOOKUP($G121,'DX-Data'!$H$12:$J$18,2,TRUE),"CHOOSE AC TYPE")))),0)</f>
        <v>0</v>
      </c>
      <c r="AM121" s="77">
        <f t="shared" si="11"/>
        <v>0</v>
      </c>
      <c r="AN121" s="76" t="str">
        <f>IF(E121="","",VLOOKUP($AM121,'DX-Data'!$I$5:$J$31,2,FALSE))</f>
        <v/>
      </c>
      <c r="AO121" s="77" t="str">
        <f t="shared" si="12"/>
        <v/>
      </c>
    </row>
    <row r="122" spans="2:41" hidden="1" x14ac:dyDescent="0.3">
      <c r="B122" s="71"/>
      <c r="C122" s="26"/>
      <c r="D122" s="27"/>
      <c r="E122" s="26"/>
      <c r="F122" s="26"/>
      <c r="G122" s="82"/>
      <c r="H122" s="74" t="str">
        <f t="shared" si="9"/>
        <v/>
      </c>
      <c r="I122" s="2" t="str">
        <f t="shared" si="10"/>
        <v/>
      </c>
      <c r="J122" s="21" t="str">
        <f>IF($H122="","",VLOOKUP($H122,Data!$C$6:$Y$29,2,FALSE))</f>
        <v/>
      </c>
      <c r="K122" s="2" t="str">
        <f>IF($H122="","",VLOOKUP($H122,Data!$C$6:$Y$29,3,FALSE))</f>
        <v/>
      </c>
      <c r="L122" s="2" t="str">
        <f>IF($H122="","",VLOOKUP($H122,Data!$C$6:$Y$29,4,FALSE))</f>
        <v/>
      </c>
      <c r="M122" s="2" t="str">
        <f>IF($H122="","",VLOOKUP($H122,Data!$C$6:$Y$29,5,FALSE))</f>
        <v/>
      </c>
      <c r="N122" s="2" t="str">
        <f>IF($H122="","",VLOOKUP($H122,Data!$C$6:$Y$29,6,FALSE))</f>
        <v/>
      </c>
      <c r="O122" s="2" t="str">
        <f>IF($H122="","",VLOOKUP($H122,Data!$C$6:$Y$29,7,FALSE))</f>
        <v/>
      </c>
      <c r="P122" s="2" t="str">
        <f>IF($H122="","",VLOOKUP($H122,Data!$C$6:$Y$29,8,FALSE))</f>
        <v/>
      </c>
      <c r="Q122" s="2" t="str">
        <f>IF($H122="","",VLOOKUP($H122,Data!$C$6:$Y$29,9,FALSE))</f>
        <v/>
      </c>
      <c r="R122" s="2" t="str">
        <f>IF($H122="","",VLOOKUP($H122,Data!$C$6:$Y$29,10,FALSE))</f>
        <v/>
      </c>
      <c r="S122" s="2" t="str">
        <f>IF($H122="","",VLOOKUP($H122,Data!$C$6:$Y$29,11,FALSE))</f>
        <v/>
      </c>
      <c r="T122" s="2" t="str">
        <f>IF($H122="","",VLOOKUP($H122,Data!$C$6:$Y$29,12,FALSE))</f>
        <v/>
      </c>
      <c r="U122" s="2" t="str">
        <f>IF($H122="","",VLOOKUP($H122,Data!$C$6:$Y$29,13,FALSE))</f>
        <v/>
      </c>
      <c r="V122" s="2" t="str">
        <f>IF($H122="","",VLOOKUP($H122,Data!$C$6:$Y$29,14,FALSE))</f>
        <v/>
      </c>
      <c r="W122" s="2" t="str">
        <f>IF($H122="","",VLOOKUP($H122,Data!$C$6:$Y$29,15,FALSE))</f>
        <v/>
      </c>
      <c r="X122" s="2" t="str">
        <f>IF($H122="","",VLOOKUP($H122,Data!$C$6:$Y$29,16,FALSE))</f>
        <v/>
      </c>
      <c r="Y122" s="2" t="str">
        <f>IF($H122="","",VLOOKUP($H122,Data!$C$6:$Y$29,17,FALSE))</f>
        <v/>
      </c>
      <c r="Z122" s="2" t="str">
        <f>IF($H122="","",VLOOKUP($H122,Data!$C$6:$Y$29,18,FALSE))</f>
        <v/>
      </c>
      <c r="AA122" s="2" t="str">
        <f>IF($H122="","",VLOOKUP($H122,Data!$C$6:$Y$29,19,FALSE))</f>
        <v/>
      </c>
      <c r="AB122" s="2" t="str">
        <f>IF($H122="","",VLOOKUP($H122,Data!$C$6:$Y$29,20,FALSE))</f>
        <v/>
      </c>
      <c r="AC122" s="2" t="str">
        <f>IF($H122="","",VLOOKUP($H122,Data!$C$6:$Y$29,21,FALSE))</f>
        <v/>
      </c>
      <c r="AD122" s="2" t="str">
        <f>IF($H122="","",VLOOKUP($H122,Data!$C$6:$Y$29,22,FALSE))</f>
        <v/>
      </c>
      <c r="AE122" s="3" t="str">
        <f>IF($H122="","",VLOOKUP($H122,Data!$C$6:$Y$29,23,FALSE))</f>
        <v/>
      </c>
      <c r="AG122" s="76" t="str">
        <f>IF($E122="","",IF($C122="DUCTED",VLOOKUP($E122,'DX-Data'!$D$5:$J$11,7,TRUE),IF($C122="DECORATIVE",VLOOKUP($E122,'DX-Data'!$D$19:$J$23,7,TRUE),IF($C122="PACKAGED",VLOOKUP($E122,'DX-Data'!$D$24:$J$30,7,TRUE),IF($C122="DUCTED-INV",VLOOKUP($E122,'DX-Data'!$D$12:$J$18,7,TRUE),"CHOOSE AC TYPE")))))</f>
        <v/>
      </c>
      <c r="AH122" s="76" t="str">
        <f>IF($F$9=TRUE,IF($C122="DUCTED",VLOOKUP($F122,'DX-Data'!$F$5:$J$11,5,TRUE),IF($C122="DECORATIVE",VLOOKUP($F122,'DX-Data'!$F$19:$J$23,5,TRUE),IF($C122="PACKAGED",VLOOKUP($F122,'DX-Data'!$F$24:$J$30,5,TRUE),IF($C122="DUCTED-INV",VLOOKUP($F122,'DX-Data'!$F$12:$J$18,5,TRUE),"CHOOSE AC TYPE")))),"NO SELECTION")</f>
        <v>CHOOSE AC TYPE</v>
      </c>
      <c r="AI122" s="76" t="str">
        <f>IF($G$9=TRUE,IF($C122="DUCTED",VLOOKUP($G122,'DX-Data'!$H$5:$J$11,3,TRUE),IF($C122="DECORATIVE",VLOOKUP($G122,'DX-Data'!$H$19:$J$23,3,TRUE),IF($C122="PACKAGED",VLOOKUP($G122,'DX-Data'!$H$24:$J$30,3,TRUE),IF($C122="DUCTED-INV",VLOOKUP($G122,'DX-Data'!$H$12:$J$18,3,TRUE),"CHOOSE AC TYPE")))),"NO SELECTION")</f>
        <v>NO SELECTION</v>
      </c>
      <c r="AJ122" s="77" t="str">
        <f>IF($E122="","",IF($C122="DUCTED",VLOOKUP($E122,'DX-Data'!$D$5:$J$11,6,TRUE),IF($C122="DECORATIVE",VLOOKUP($E122,'DX-Data'!$D$19:$J$23,6,TRUE),IF($C122="PACKAGED",VLOOKUP($E122,'DX-Data'!$D$24:$J$30,6,TRUE),IF($C122="DUCTED-INV",VLOOKUP($E122,'DX-Data'!$D$12:$J$18,6,TRUE),0)))))</f>
        <v/>
      </c>
      <c r="AK122" s="77" t="str">
        <f>IF($F$9=TRUE,IF($C122="DUCTED",VLOOKUP($F122,'DX-Data'!$F$5:$J$11,4,TRUE),IF($C122="DECORATIVE",VLOOKUP($F122,'DX-Data'!$F$19:$J$23,4,TRUE),IF($C122="PACKAGED",VLOOKUP($F122,'DX-Data'!$F$24:$J$30,4,TRUE),IF($C122="DUCTED-INV",VLOOKUP($F122,'DX-Data'!$F$12:$J$18,4,TRUE),"CHOOSE AC TYPE")))),0)</f>
        <v>CHOOSE AC TYPE</v>
      </c>
      <c r="AL122" s="77">
        <f>IF($G$9=TRUE,IF($C122="DUCTED",VLOOKUP($G122,'DX-Data'!$H$5:$J$11,2,TRUE),IF($C122="DECORATIVE",VLOOKUP($G122,'DX-Data'!$H$19:$J$23,2,TRUE),IF($C122="PACKAGED",VLOOKUP($G122,'DX-Data'!$H$24:$J$30,2,TRUE),IF($C122="DUCTED-INV",VLOOKUP($G122,'DX-Data'!$H$12:$J$18,2,TRUE),"CHOOSE AC TYPE")))),0)</f>
        <v>0</v>
      </c>
      <c r="AM122" s="77">
        <f t="shared" si="11"/>
        <v>0</v>
      </c>
      <c r="AN122" s="76" t="str">
        <f>IF(E122="","",VLOOKUP($AM122,'DX-Data'!$I$5:$J$31,2,FALSE))</f>
        <v/>
      </c>
      <c r="AO122" s="77" t="str">
        <f t="shared" si="12"/>
        <v/>
      </c>
    </row>
    <row r="123" spans="2:41" hidden="1" x14ac:dyDescent="0.3">
      <c r="B123" s="71"/>
      <c r="C123" s="26"/>
      <c r="D123" s="27"/>
      <c r="E123" s="26"/>
      <c r="F123" s="26"/>
      <c r="G123" s="82"/>
      <c r="H123" s="74" t="str">
        <f t="shared" si="9"/>
        <v/>
      </c>
      <c r="I123" s="2" t="str">
        <f t="shared" si="10"/>
        <v/>
      </c>
      <c r="J123" s="21" t="str">
        <f>IF($H123="","",VLOOKUP($H123,Data!$C$6:$Y$29,2,FALSE))</f>
        <v/>
      </c>
      <c r="K123" s="2" t="str">
        <f>IF($H123="","",VLOOKUP($H123,Data!$C$6:$Y$29,3,FALSE))</f>
        <v/>
      </c>
      <c r="L123" s="2" t="str">
        <f>IF($H123="","",VLOOKUP($H123,Data!$C$6:$Y$29,4,FALSE))</f>
        <v/>
      </c>
      <c r="M123" s="2" t="str">
        <f>IF($H123="","",VLOOKUP($H123,Data!$C$6:$Y$29,5,FALSE))</f>
        <v/>
      </c>
      <c r="N123" s="2" t="str">
        <f>IF($H123="","",VLOOKUP($H123,Data!$C$6:$Y$29,6,FALSE))</f>
        <v/>
      </c>
      <c r="O123" s="2" t="str">
        <f>IF($H123="","",VLOOKUP($H123,Data!$C$6:$Y$29,7,FALSE))</f>
        <v/>
      </c>
      <c r="P123" s="2" t="str">
        <f>IF($H123="","",VLOOKUP($H123,Data!$C$6:$Y$29,8,FALSE))</f>
        <v/>
      </c>
      <c r="Q123" s="2" t="str">
        <f>IF($H123="","",VLOOKUP($H123,Data!$C$6:$Y$29,9,FALSE))</f>
        <v/>
      </c>
      <c r="R123" s="2" t="str">
        <f>IF($H123="","",VLOOKUP($H123,Data!$C$6:$Y$29,10,FALSE))</f>
        <v/>
      </c>
      <c r="S123" s="2" t="str">
        <f>IF($H123="","",VLOOKUP($H123,Data!$C$6:$Y$29,11,FALSE))</f>
        <v/>
      </c>
      <c r="T123" s="2" t="str">
        <f>IF($H123="","",VLOOKUP($H123,Data!$C$6:$Y$29,12,FALSE))</f>
        <v/>
      </c>
      <c r="U123" s="2" t="str">
        <f>IF($H123="","",VLOOKUP($H123,Data!$C$6:$Y$29,13,FALSE))</f>
        <v/>
      </c>
      <c r="V123" s="2" t="str">
        <f>IF($H123="","",VLOOKUP($H123,Data!$C$6:$Y$29,14,FALSE))</f>
        <v/>
      </c>
      <c r="W123" s="2" t="str">
        <f>IF($H123="","",VLOOKUP($H123,Data!$C$6:$Y$29,15,FALSE))</f>
        <v/>
      </c>
      <c r="X123" s="2" t="str">
        <f>IF($H123="","",VLOOKUP($H123,Data!$C$6:$Y$29,16,FALSE))</f>
        <v/>
      </c>
      <c r="Y123" s="2" t="str">
        <f>IF($H123="","",VLOOKUP($H123,Data!$C$6:$Y$29,17,FALSE))</f>
        <v/>
      </c>
      <c r="Z123" s="2" t="str">
        <f>IF($H123="","",VLOOKUP($H123,Data!$C$6:$Y$29,18,FALSE))</f>
        <v/>
      </c>
      <c r="AA123" s="2" t="str">
        <f>IF($H123="","",VLOOKUP($H123,Data!$C$6:$Y$29,19,FALSE))</f>
        <v/>
      </c>
      <c r="AB123" s="2" t="str">
        <f>IF($H123="","",VLOOKUP($H123,Data!$C$6:$Y$29,20,FALSE))</f>
        <v/>
      </c>
      <c r="AC123" s="2" t="str">
        <f>IF($H123="","",VLOOKUP($H123,Data!$C$6:$Y$29,21,FALSE))</f>
        <v/>
      </c>
      <c r="AD123" s="2" t="str">
        <f>IF($H123="","",VLOOKUP($H123,Data!$C$6:$Y$29,22,FALSE))</f>
        <v/>
      </c>
      <c r="AE123" s="3" t="str">
        <f>IF($H123="","",VLOOKUP($H123,Data!$C$6:$Y$29,23,FALSE))</f>
        <v/>
      </c>
      <c r="AG123" s="76" t="str">
        <f>IF($E123="","",IF($C123="DUCTED",VLOOKUP($E123,'DX-Data'!$D$5:$J$11,7,TRUE),IF($C123="DECORATIVE",VLOOKUP($E123,'DX-Data'!$D$19:$J$23,7,TRUE),IF($C123="PACKAGED",VLOOKUP($E123,'DX-Data'!$D$24:$J$30,7,TRUE),IF($C123="DUCTED-INV",VLOOKUP($E123,'DX-Data'!$D$12:$J$18,7,TRUE),"CHOOSE AC TYPE")))))</f>
        <v/>
      </c>
      <c r="AH123" s="76" t="str">
        <f>IF($F$9=TRUE,IF($C123="DUCTED",VLOOKUP($F123,'DX-Data'!$F$5:$J$11,5,TRUE),IF($C123="DECORATIVE",VLOOKUP($F123,'DX-Data'!$F$19:$J$23,5,TRUE),IF($C123="PACKAGED",VLOOKUP($F123,'DX-Data'!$F$24:$J$30,5,TRUE),IF($C123="DUCTED-INV",VLOOKUP($F123,'DX-Data'!$F$12:$J$18,5,TRUE),"CHOOSE AC TYPE")))),"NO SELECTION")</f>
        <v>CHOOSE AC TYPE</v>
      </c>
      <c r="AI123" s="76" t="str">
        <f>IF($G$9=TRUE,IF($C123="DUCTED",VLOOKUP($G123,'DX-Data'!$H$5:$J$11,3,TRUE),IF($C123="DECORATIVE",VLOOKUP($G123,'DX-Data'!$H$19:$J$23,3,TRUE),IF($C123="PACKAGED",VLOOKUP($G123,'DX-Data'!$H$24:$J$30,3,TRUE),IF($C123="DUCTED-INV",VLOOKUP($G123,'DX-Data'!$H$12:$J$18,3,TRUE),"CHOOSE AC TYPE")))),"NO SELECTION")</f>
        <v>NO SELECTION</v>
      </c>
      <c r="AJ123" s="77" t="str">
        <f>IF($E123="","",IF($C123="DUCTED",VLOOKUP($E123,'DX-Data'!$D$5:$J$11,6,TRUE),IF($C123="DECORATIVE",VLOOKUP($E123,'DX-Data'!$D$19:$J$23,6,TRUE),IF($C123="PACKAGED",VLOOKUP($E123,'DX-Data'!$D$24:$J$30,6,TRUE),IF($C123="DUCTED-INV",VLOOKUP($E123,'DX-Data'!$D$12:$J$18,6,TRUE),0)))))</f>
        <v/>
      </c>
      <c r="AK123" s="77" t="str">
        <f>IF($F$9=TRUE,IF($C123="DUCTED",VLOOKUP($F123,'DX-Data'!$F$5:$J$11,4,TRUE),IF($C123="DECORATIVE",VLOOKUP($F123,'DX-Data'!$F$19:$J$23,4,TRUE),IF($C123="PACKAGED",VLOOKUP($F123,'DX-Data'!$F$24:$J$30,4,TRUE),IF($C123="DUCTED-INV",VLOOKUP($F123,'DX-Data'!$F$12:$J$18,4,TRUE),"CHOOSE AC TYPE")))),0)</f>
        <v>CHOOSE AC TYPE</v>
      </c>
      <c r="AL123" s="77">
        <f>IF($G$9=TRUE,IF($C123="DUCTED",VLOOKUP($G123,'DX-Data'!$H$5:$J$11,2,TRUE),IF($C123="DECORATIVE",VLOOKUP($G123,'DX-Data'!$H$19:$J$23,2,TRUE),IF($C123="PACKAGED",VLOOKUP($G123,'DX-Data'!$H$24:$J$30,2,TRUE),IF($C123="DUCTED-INV",VLOOKUP($G123,'DX-Data'!$H$12:$J$18,2,TRUE),"CHOOSE AC TYPE")))),0)</f>
        <v>0</v>
      </c>
      <c r="AM123" s="77">
        <f t="shared" si="11"/>
        <v>0</v>
      </c>
      <c r="AN123" s="76" t="str">
        <f>IF(E123="","",VLOOKUP($AM123,'DX-Data'!$I$5:$J$31,2,FALSE))</f>
        <v/>
      </c>
      <c r="AO123" s="77" t="str">
        <f t="shared" si="12"/>
        <v/>
      </c>
    </row>
    <row r="124" spans="2:41" hidden="1" x14ac:dyDescent="0.3">
      <c r="B124" s="71"/>
      <c r="C124" s="26"/>
      <c r="D124" s="27"/>
      <c r="E124" s="26"/>
      <c r="F124" s="26"/>
      <c r="G124" s="82"/>
      <c r="H124" s="74" t="str">
        <f t="shared" si="9"/>
        <v/>
      </c>
      <c r="I124" s="2" t="str">
        <f t="shared" si="10"/>
        <v/>
      </c>
      <c r="J124" s="21" t="str">
        <f>IF($H124="","",VLOOKUP($H124,Data!$C$6:$Y$29,2,FALSE))</f>
        <v/>
      </c>
      <c r="K124" s="2" t="str">
        <f>IF($H124="","",VLOOKUP($H124,Data!$C$6:$Y$29,3,FALSE))</f>
        <v/>
      </c>
      <c r="L124" s="2" t="str">
        <f>IF($H124="","",VLOOKUP($H124,Data!$C$6:$Y$29,4,FALSE))</f>
        <v/>
      </c>
      <c r="M124" s="2" t="str">
        <f>IF($H124="","",VLOOKUP($H124,Data!$C$6:$Y$29,5,FALSE))</f>
        <v/>
      </c>
      <c r="N124" s="2" t="str">
        <f>IF($H124="","",VLOOKUP($H124,Data!$C$6:$Y$29,6,FALSE))</f>
        <v/>
      </c>
      <c r="O124" s="2" t="str">
        <f>IF($H124="","",VLOOKUP($H124,Data!$C$6:$Y$29,7,FALSE))</f>
        <v/>
      </c>
      <c r="P124" s="2" t="str">
        <f>IF($H124="","",VLOOKUP($H124,Data!$C$6:$Y$29,8,FALSE))</f>
        <v/>
      </c>
      <c r="Q124" s="2" t="str">
        <f>IF($H124="","",VLOOKUP($H124,Data!$C$6:$Y$29,9,FALSE))</f>
        <v/>
      </c>
      <c r="R124" s="2" t="str">
        <f>IF($H124="","",VLOOKUP($H124,Data!$C$6:$Y$29,10,FALSE))</f>
        <v/>
      </c>
      <c r="S124" s="2" t="str">
        <f>IF($H124="","",VLOOKUP($H124,Data!$C$6:$Y$29,11,FALSE))</f>
        <v/>
      </c>
      <c r="T124" s="2" t="str">
        <f>IF($H124="","",VLOOKUP($H124,Data!$C$6:$Y$29,12,FALSE))</f>
        <v/>
      </c>
      <c r="U124" s="2" t="str">
        <f>IF($H124="","",VLOOKUP($H124,Data!$C$6:$Y$29,13,FALSE))</f>
        <v/>
      </c>
      <c r="V124" s="2" t="str">
        <f>IF($H124="","",VLOOKUP($H124,Data!$C$6:$Y$29,14,FALSE))</f>
        <v/>
      </c>
      <c r="W124" s="2" t="str">
        <f>IF($H124="","",VLOOKUP($H124,Data!$C$6:$Y$29,15,FALSE))</f>
        <v/>
      </c>
      <c r="X124" s="2" t="str">
        <f>IF($H124="","",VLOOKUP($H124,Data!$C$6:$Y$29,16,FALSE))</f>
        <v/>
      </c>
      <c r="Y124" s="2" t="str">
        <f>IF($H124="","",VLOOKUP($H124,Data!$C$6:$Y$29,17,FALSE))</f>
        <v/>
      </c>
      <c r="Z124" s="2" t="str">
        <f>IF($H124="","",VLOOKUP($H124,Data!$C$6:$Y$29,18,FALSE))</f>
        <v/>
      </c>
      <c r="AA124" s="2" t="str">
        <f>IF($H124="","",VLOOKUP($H124,Data!$C$6:$Y$29,19,FALSE))</f>
        <v/>
      </c>
      <c r="AB124" s="2" t="str">
        <f>IF($H124="","",VLOOKUP($H124,Data!$C$6:$Y$29,20,FALSE))</f>
        <v/>
      </c>
      <c r="AC124" s="2" t="str">
        <f>IF($H124="","",VLOOKUP($H124,Data!$C$6:$Y$29,21,FALSE))</f>
        <v/>
      </c>
      <c r="AD124" s="2" t="str">
        <f>IF($H124="","",VLOOKUP($H124,Data!$C$6:$Y$29,22,FALSE))</f>
        <v/>
      </c>
      <c r="AE124" s="3" t="str">
        <f>IF($H124="","",VLOOKUP($H124,Data!$C$6:$Y$29,23,FALSE))</f>
        <v/>
      </c>
      <c r="AG124" s="76" t="str">
        <f>IF($E124="","",IF($C124="DUCTED",VLOOKUP($E124,'DX-Data'!$D$5:$J$11,7,TRUE),IF($C124="DECORATIVE",VLOOKUP($E124,'DX-Data'!$D$19:$J$23,7,TRUE),IF($C124="PACKAGED",VLOOKUP($E124,'DX-Data'!$D$24:$J$30,7,TRUE),IF($C124="DUCTED-INV",VLOOKUP($E124,'DX-Data'!$D$12:$J$18,7,TRUE),"CHOOSE AC TYPE")))))</f>
        <v/>
      </c>
      <c r="AH124" s="76" t="str">
        <f>IF($F$9=TRUE,IF($C124="DUCTED",VLOOKUP($F124,'DX-Data'!$F$5:$J$11,5,TRUE),IF($C124="DECORATIVE",VLOOKUP($F124,'DX-Data'!$F$19:$J$23,5,TRUE),IF($C124="PACKAGED",VLOOKUP($F124,'DX-Data'!$F$24:$J$30,5,TRUE),IF($C124="DUCTED-INV",VLOOKUP($F124,'DX-Data'!$F$12:$J$18,5,TRUE),"CHOOSE AC TYPE")))),"NO SELECTION")</f>
        <v>CHOOSE AC TYPE</v>
      </c>
      <c r="AI124" s="76" t="str">
        <f>IF($G$9=TRUE,IF($C124="DUCTED",VLOOKUP($G124,'DX-Data'!$H$5:$J$11,3,TRUE),IF($C124="DECORATIVE",VLOOKUP($G124,'DX-Data'!$H$19:$J$23,3,TRUE),IF($C124="PACKAGED",VLOOKUP($G124,'DX-Data'!$H$24:$J$30,3,TRUE),IF($C124="DUCTED-INV",VLOOKUP($G124,'DX-Data'!$H$12:$J$18,3,TRUE),"CHOOSE AC TYPE")))),"NO SELECTION")</f>
        <v>NO SELECTION</v>
      </c>
      <c r="AJ124" s="77" t="str">
        <f>IF($E124="","",IF($C124="DUCTED",VLOOKUP($E124,'DX-Data'!$D$5:$J$11,6,TRUE),IF($C124="DECORATIVE",VLOOKUP($E124,'DX-Data'!$D$19:$J$23,6,TRUE),IF($C124="PACKAGED",VLOOKUP($E124,'DX-Data'!$D$24:$J$30,6,TRUE),IF($C124="DUCTED-INV",VLOOKUP($E124,'DX-Data'!$D$12:$J$18,6,TRUE),0)))))</f>
        <v/>
      </c>
      <c r="AK124" s="77" t="str">
        <f>IF($F$9=TRUE,IF($C124="DUCTED",VLOOKUP($F124,'DX-Data'!$F$5:$J$11,4,TRUE),IF($C124="DECORATIVE",VLOOKUP($F124,'DX-Data'!$F$19:$J$23,4,TRUE),IF($C124="PACKAGED",VLOOKUP($F124,'DX-Data'!$F$24:$J$30,4,TRUE),IF($C124="DUCTED-INV",VLOOKUP($F124,'DX-Data'!$F$12:$J$18,4,TRUE),"CHOOSE AC TYPE")))),0)</f>
        <v>CHOOSE AC TYPE</v>
      </c>
      <c r="AL124" s="77">
        <f>IF($G$9=TRUE,IF($C124="DUCTED",VLOOKUP($G124,'DX-Data'!$H$5:$J$11,2,TRUE),IF($C124="DECORATIVE",VLOOKUP($G124,'DX-Data'!$H$19:$J$23,2,TRUE),IF($C124="PACKAGED",VLOOKUP($G124,'DX-Data'!$H$24:$J$30,2,TRUE),IF($C124="DUCTED-INV",VLOOKUP($G124,'DX-Data'!$H$12:$J$18,2,TRUE),"CHOOSE AC TYPE")))),0)</f>
        <v>0</v>
      </c>
      <c r="AM124" s="77">
        <f t="shared" si="11"/>
        <v>0</v>
      </c>
      <c r="AN124" s="76" t="str">
        <f>IF(E124="","",VLOOKUP($AM124,'DX-Data'!$I$5:$J$31,2,FALSE))</f>
        <v/>
      </c>
      <c r="AO124" s="77" t="str">
        <f t="shared" si="12"/>
        <v/>
      </c>
    </row>
    <row r="125" spans="2:41" hidden="1" x14ac:dyDescent="0.3">
      <c r="B125" s="71"/>
      <c r="C125" s="26"/>
      <c r="D125" s="27"/>
      <c r="E125" s="26"/>
      <c r="F125" s="26"/>
      <c r="G125" s="82"/>
      <c r="H125" s="74" t="str">
        <f t="shared" si="9"/>
        <v/>
      </c>
      <c r="I125" s="2" t="str">
        <f t="shared" si="10"/>
        <v/>
      </c>
      <c r="J125" s="21" t="str">
        <f>IF($H125="","",VLOOKUP($H125,Data!$C$6:$Y$29,2,FALSE))</f>
        <v/>
      </c>
      <c r="K125" s="2" t="str">
        <f>IF($H125="","",VLOOKUP($H125,Data!$C$6:$Y$29,3,FALSE))</f>
        <v/>
      </c>
      <c r="L125" s="2" t="str">
        <f>IF($H125="","",VLOOKUP($H125,Data!$C$6:$Y$29,4,FALSE))</f>
        <v/>
      </c>
      <c r="M125" s="2" t="str">
        <f>IF($H125="","",VLOOKUP($H125,Data!$C$6:$Y$29,5,FALSE))</f>
        <v/>
      </c>
      <c r="N125" s="2" t="str">
        <f>IF($H125="","",VLOOKUP($H125,Data!$C$6:$Y$29,6,FALSE))</f>
        <v/>
      </c>
      <c r="O125" s="2" t="str">
        <f>IF($H125="","",VLOOKUP($H125,Data!$C$6:$Y$29,7,FALSE))</f>
        <v/>
      </c>
      <c r="P125" s="2" t="str">
        <f>IF($H125="","",VLOOKUP($H125,Data!$C$6:$Y$29,8,FALSE))</f>
        <v/>
      </c>
      <c r="Q125" s="2" t="str">
        <f>IF($H125="","",VLOOKUP($H125,Data!$C$6:$Y$29,9,FALSE))</f>
        <v/>
      </c>
      <c r="R125" s="2" t="str">
        <f>IF($H125="","",VLOOKUP($H125,Data!$C$6:$Y$29,10,FALSE))</f>
        <v/>
      </c>
      <c r="S125" s="2" t="str">
        <f>IF($H125="","",VLOOKUP($H125,Data!$C$6:$Y$29,11,FALSE))</f>
        <v/>
      </c>
      <c r="T125" s="2" t="str">
        <f>IF($H125="","",VLOOKUP($H125,Data!$C$6:$Y$29,12,FALSE))</f>
        <v/>
      </c>
      <c r="U125" s="2" t="str">
        <f>IF($H125="","",VLOOKUP($H125,Data!$C$6:$Y$29,13,FALSE))</f>
        <v/>
      </c>
      <c r="V125" s="2" t="str">
        <f>IF($H125="","",VLOOKUP($H125,Data!$C$6:$Y$29,14,FALSE))</f>
        <v/>
      </c>
      <c r="W125" s="2" t="str">
        <f>IF($H125="","",VLOOKUP($H125,Data!$C$6:$Y$29,15,FALSE))</f>
        <v/>
      </c>
      <c r="X125" s="2" t="str">
        <f>IF($H125="","",VLOOKUP($H125,Data!$C$6:$Y$29,16,FALSE))</f>
        <v/>
      </c>
      <c r="Y125" s="2" t="str">
        <f>IF($H125="","",VLOOKUP($H125,Data!$C$6:$Y$29,17,FALSE))</f>
        <v/>
      </c>
      <c r="Z125" s="2" t="str">
        <f>IF($H125="","",VLOOKUP($H125,Data!$C$6:$Y$29,18,FALSE))</f>
        <v/>
      </c>
      <c r="AA125" s="2" t="str">
        <f>IF($H125="","",VLOOKUP($H125,Data!$C$6:$Y$29,19,FALSE))</f>
        <v/>
      </c>
      <c r="AB125" s="2" t="str">
        <f>IF($H125="","",VLOOKUP($H125,Data!$C$6:$Y$29,20,FALSE))</f>
        <v/>
      </c>
      <c r="AC125" s="2" t="str">
        <f>IF($H125="","",VLOOKUP($H125,Data!$C$6:$Y$29,21,FALSE))</f>
        <v/>
      </c>
      <c r="AD125" s="2" t="str">
        <f>IF($H125="","",VLOOKUP($H125,Data!$C$6:$Y$29,22,FALSE))</f>
        <v/>
      </c>
      <c r="AE125" s="3" t="str">
        <f>IF($H125="","",VLOOKUP($H125,Data!$C$6:$Y$29,23,FALSE))</f>
        <v/>
      </c>
      <c r="AG125" s="76" t="str">
        <f>IF($E125="","",IF($C125="DUCTED",VLOOKUP($E125,'DX-Data'!$D$5:$J$11,7,TRUE),IF($C125="DECORATIVE",VLOOKUP($E125,'DX-Data'!$D$19:$J$23,7,TRUE),IF($C125="PACKAGED",VLOOKUP($E125,'DX-Data'!$D$24:$J$30,7,TRUE),IF($C125="DUCTED-INV",VLOOKUP($E125,'DX-Data'!$D$12:$J$18,7,TRUE),"CHOOSE AC TYPE")))))</f>
        <v/>
      </c>
      <c r="AH125" s="76" t="str">
        <f>IF($F$9=TRUE,IF($C125="DUCTED",VLOOKUP($F125,'DX-Data'!$F$5:$J$11,5,TRUE),IF($C125="DECORATIVE",VLOOKUP($F125,'DX-Data'!$F$19:$J$23,5,TRUE),IF($C125="PACKAGED",VLOOKUP($F125,'DX-Data'!$F$24:$J$30,5,TRUE),IF($C125="DUCTED-INV",VLOOKUP($F125,'DX-Data'!$F$12:$J$18,5,TRUE),"CHOOSE AC TYPE")))),"NO SELECTION")</f>
        <v>CHOOSE AC TYPE</v>
      </c>
      <c r="AI125" s="76" t="str">
        <f>IF($G$9=TRUE,IF($C125="DUCTED",VLOOKUP($G125,'DX-Data'!$H$5:$J$11,3,TRUE),IF($C125="DECORATIVE",VLOOKUP($G125,'DX-Data'!$H$19:$J$23,3,TRUE),IF($C125="PACKAGED",VLOOKUP($G125,'DX-Data'!$H$24:$J$30,3,TRUE),IF($C125="DUCTED-INV",VLOOKUP($G125,'DX-Data'!$H$12:$J$18,3,TRUE),"CHOOSE AC TYPE")))),"NO SELECTION")</f>
        <v>NO SELECTION</v>
      </c>
      <c r="AJ125" s="77" t="str">
        <f>IF($E125="","",IF($C125="DUCTED",VLOOKUP($E125,'DX-Data'!$D$5:$J$11,6,TRUE),IF($C125="DECORATIVE",VLOOKUP($E125,'DX-Data'!$D$19:$J$23,6,TRUE),IF($C125="PACKAGED",VLOOKUP($E125,'DX-Data'!$D$24:$J$30,6,TRUE),IF($C125="DUCTED-INV",VLOOKUP($E125,'DX-Data'!$D$12:$J$18,6,TRUE),0)))))</f>
        <v/>
      </c>
      <c r="AK125" s="77" t="str">
        <f>IF($F$9=TRUE,IF($C125="DUCTED",VLOOKUP($F125,'DX-Data'!$F$5:$J$11,4,TRUE),IF($C125="DECORATIVE",VLOOKUP($F125,'DX-Data'!$F$19:$J$23,4,TRUE),IF($C125="PACKAGED",VLOOKUP($F125,'DX-Data'!$F$24:$J$30,4,TRUE),IF($C125="DUCTED-INV",VLOOKUP($F125,'DX-Data'!$F$12:$J$18,4,TRUE),"CHOOSE AC TYPE")))),0)</f>
        <v>CHOOSE AC TYPE</v>
      </c>
      <c r="AL125" s="77">
        <f>IF($G$9=TRUE,IF($C125="DUCTED",VLOOKUP($G125,'DX-Data'!$H$5:$J$11,2,TRUE),IF($C125="DECORATIVE",VLOOKUP($G125,'DX-Data'!$H$19:$J$23,2,TRUE),IF($C125="PACKAGED",VLOOKUP($G125,'DX-Data'!$H$24:$J$30,2,TRUE),IF($C125="DUCTED-INV",VLOOKUP($G125,'DX-Data'!$H$12:$J$18,2,TRUE),"CHOOSE AC TYPE")))),0)</f>
        <v>0</v>
      </c>
      <c r="AM125" s="77">
        <f t="shared" si="11"/>
        <v>0</v>
      </c>
      <c r="AN125" s="76" t="str">
        <f>IF(E125="","",VLOOKUP($AM125,'DX-Data'!$I$5:$J$31,2,FALSE))</f>
        <v/>
      </c>
      <c r="AO125" s="77" t="str">
        <f t="shared" si="12"/>
        <v/>
      </c>
    </row>
    <row r="126" spans="2:41" hidden="1" x14ac:dyDescent="0.3">
      <c r="B126" s="71"/>
      <c r="C126" s="26"/>
      <c r="D126" s="27"/>
      <c r="E126" s="26"/>
      <c r="F126" s="26"/>
      <c r="G126" s="82"/>
      <c r="H126" s="74" t="str">
        <f t="shared" si="9"/>
        <v/>
      </c>
      <c r="I126" s="2" t="str">
        <f t="shared" si="10"/>
        <v/>
      </c>
      <c r="J126" s="21" t="str">
        <f>IF($H126="","",VLOOKUP($H126,Data!$C$6:$Y$29,2,FALSE))</f>
        <v/>
      </c>
      <c r="K126" s="2" t="str">
        <f>IF($H126="","",VLOOKUP($H126,Data!$C$6:$Y$29,3,FALSE))</f>
        <v/>
      </c>
      <c r="L126" s="2" t="str">
        <f>IF($H126="","",VLOOKUP($H126,Data!$C$6:$Y$29,4,FALSE))</f>
        <v/>
      </c>
      <c r="M126" s="2" t="str">
        <f>IF($H126="","",VLOOKUP($H126,Data!$C$6:$Y$29,5,FALSE))</f>
        <v/>
      </c>
      <c r="N126" s="2" t="str">
        <f>IF($H126="","",VLOOKUP($H126,Data!$C$6:$Y$29,6,FALSE))</f>
        <v/>
      </c>
      <c r="O126" s="2" t="str">
        <f>IF($H126="","",VLOOKUP($H126,Data!$C$6:$Y$29,7,FALSE))</f>
        <v/>
      </c>
      <c r="P126" s="2" t="str">
        <f>IF($H126="","",VLOOKUP($H126,Data!$C$6:$Y$29,8,FALSE))</f>
        <v/>
      </c>
      <c r="Q126" s="2" t="str">
        <f>IF($H126="","",VLOOKUP($H126,Data!$C$6:$Y$29,9,FALSE))</f>
        <v/>
      </c>
      <c r="R126" s="2" t="str">
        <f>IF($H126="","",VLOOKUP($H126,Data!$C$6:$Y$29,10,FALSE))</f>
        <v/>
      </c>
      <c r="S126" s="2" t="str">
        <f>IF($H126="","",VLOOKUP($H126,Data!$C$6:$Y$29,11,FALSE))</f>
        <v/>
      </c>
      <c r="T126" s="2" t="str">
        <f>IF($H126="","",VLOOKUP($H126,Data!$C$6:$Y$29,12,FALSE))</f>
        <v/>
      </c>
      <c r="U126" s="2" t="str">
        <f>IF($H126="","",VLOOKUP($H126,Data!$C$6:$Y$29,13,FALSE))</f>
        <v/>
      </c>
      <c r="V126" s="2" t="str">
        <f>IF($H126="","",VLOOKUP($H126,Data!$C$6:$Y$29,14,FALSE))</f>
        <v/>
      </c>
      <c r="W126" s="2" t="str">
        <f>IF($H126="","",VLOOKUP($H126,Data!$C$6:$Y$29,15,FALSE))</f>
        <v/>
      </c>
      <c r="X126" s="2" t="str">
        <f>IF($H126="","",VLOOKUP($H126,Data!$C$6:$Y$29,16,FALSE))</f>
        <v/>
      </c>
      <c r="Y126" s="2" t="str">
        <f>IF($H126="","",VLOOKUP($H126,Data!$C$6:$Y$29,17,FALSE))</f>
        <v/>
      </c>
      <c r="Z126" s="2" t="str">
        <f>IF($H126="","",VLOOKUP($H126,Data!$C$6:$Y$29,18,FALSE))</f>
        <v/>
      </c>
      <c r="AA126" s="2" t="str">
        <f>IF($H126="","",VLOOKUP($H126,Data!$C$6:$Y$29,19,FALSE))</f>
        <v/>
      </c>
      <c r="AB126" s="2" t="str">
        <f>IF($H126="","",VLOOKUP($H126,Data!$C$6:$Y$29,20,FALSE))</f>
        <v/>
      </c>
      <c r="AC126" s="2" t="str">
        <f>IF($H126="","",VLOOKUP($H126,Data!$C$6:$Y$29,21,FALSE))</f>
        <v/>
      </c>
      <c r="AD126" s="2" t="str">
        <f>IF($H126="","",VLOOKUP($H126,Data!$C$6:$Y$29,22,FALSE))</f>
        <v/>
      </c>
      <c r="AE126" s="3" t="str">
        <f>IF($H126="","",VLOOKUP($H126,Data!$C$6:$Y$29,23,FALSE))</f>
        <v/>
      </c>
      <c r="AG126" s="76" t="str">
        <f>IF($E126="","",IF($C126="DUCTED",VLOOKUP($E126,'DX-Data'!$D$5:$J$11,7,TRUE),IF($C126="DECORATIVE",VLOOKUP($E126,'DX-Data'!$D$19:$J$23,7,TRUE),IF($C126="PACKAGED",VLOOKUP($E126,'DX-Data'!$D$24:$J$30,7,TRUE),IF($C126="DUCTED-INV",VLOOKUP($E126,'DX-Data'!$D$12:$J$18,7,TRUE),"CHOOSE AC TYPE")))))</f>
        <v/>
      </c>
      <c r="AH126" s="76" t="str">
        <f>IF($F$9=TRUE,IF($C126="DUCTED",VLOOKUP($F126,'DX-Data'!$F$5:$J$11,5,TRUE),IF($C126="DECORATIVE",VLOOKUP($F126,'DX-Data'!$F$19:$J$23,5,TRUE),IF($C126="PACKAGED",VLOOKUP($F126,'DX-Data'!$F$24:$J$30,5,TRUE),IF($C126="DUCTED-INV",VLOOKUP($F126,'DX-Data'!$F$12:$J$18,5,TRUE),"CHOOSE AC TYPE")))),"NO SELECTION")</f>
        <v>CHOOSE AC TYPE</v>
      </c>
      <c r="AI126" s="76" t="str">
        <f>IF($G$9=TRUE,IF($C126="DUCTED",VLOOKUP($G126,'DX-Data'!$H$5:$J$11,3,TRUE),IF($C126="DECORATIVE",VLOOKUP($G126,'DX-Data'!$H$19:$J$23,3,TRUE),IF($C126="PACKAGED",VLOOKUP($G126,'DX-Data'!$H$24:$J$30,3,TRUE),IF($C126="DUCTED-INV",VLOOKUP($G126,'DX-Data'!$H$12:$J$18,3,TRUE),"CHOOSE AC TYPE")))),"NO SELECTION")</f>
        <v>NO SELECTION</v>
      </c>
      <c r="AJ126" s="77" t="str">
        <f>IF($E126="","",IF($C126="DUCTED",VLOOKUP($E126,'DX-Data'!$D$5:$J$11,6,TRUE),IF($C126="DECORATIVE",VLOOKUP($E126,'DX-Data'!$D$19:$J$23,6,TRUE),IF($C126="PACKAGED",VLOOKUP($E126,'DX-Data'!$D$24:$J$30,6,TRUE),IF($C126="DUCTED-INV",VLOOKUP($E126,'DX-Data'!$D$12:$J$18,6,TRUE),0)))))</f>
        <v/>
      </c>
      <c r="AK126" s="77" t="str">
        <f>IF($F$9=TRUE,IF($C126="DUCTED",VLOOKUP($F126,'DX-Data'!$F$5:$J$11,4,TRUE),IF($C126="DECORATIVE",VLOOKUP($F126,'DX-Data'!$F$19:$J$23,4,TRUE),IF($C126="PACKAGED",VLOOKUP($F126,'DX-Data'!$F$24:$J$30,4,TRUE),IF($C126="DUCTED-INV",VLOOKUP($F126,'DX-Data'!$F$12:$J$18,4,TRUE),"CHOOSE AC TYPE")))),0)</f>
        <v>CHOOSE AC TYPE</v>
      </c>
      <c r="AL126" s="77">
        <f>IF($G$9=TRUE,IF($C126="DUCTED",VLOOKUP($G126,'DX-Data'!$H$5:$J$11,2,TRUE),IF($C126="DECORATIVE",VLOOKUP($G126,'DX-Data'!$H$19:$J$23,2,TRUE),IF($C126="PACKAGED",VLOOKUP($G126,'DX-Data'!$H$24:$J$30,2,TRUE),IF($C126="DUCTED-INV",VLOOKUP($G126,'DX-Data'!$H$12:$J$18,2,TRUE),"CHOOSE AC TYPE")))),0)</f>
        <v>0</v>
      </c>
      <c r="AM126" s="77">
        <f t="shared" si="11"/>
        <v>0</v>
      </c>
      <c r="AN126" s="76" t="str">
        <f>IF(E126="","",VLOOKUP($AM126,'DX-Data'!$I$5:$J$31,2,FALSE))</f>
        <v/>
      </c>
      <c r="AO126" s="77" t="str">
        <f t="shared" si="12"/>
        <v/>
      </c>
    </row>
    <row r="127" spans="2:41" hidden="1" x14ac:dyDescent="0.3">
      <c r="B127" s="71"/>
      <c r="C127" s="26"/>
      <c r="D127" s="27"/>
      <c r="E127" s="26"/>
      <c r="F127" s="26"/>
      <c r="G127" s="82"/>
      <c r="H127" s="74" t="str">
        <f t="shared" si="9"/>
        <v/>
      </c>
      <c r="I127" s="2" t="str">
        <f t="shared" si="10"/>
        <v/>
      </c>
      <c r="J127" s="21" t="str">
        <f>IF($H127="","",VLOOKUP($H127,Data!$C$6:$Y$29,2,FALSE))</f>
        <v/>
      </c>
      <c r="K127" s="2" t="str">
        <f>IF($H127="","",VLOOKUP($H127,Data!$C$6:$Y$29,3,FALSE))</f>
        <v/>
      </c>
      <c r="L127" s="2" t="str">
        <f>IF($H127="","",VLOOKUP($H127,Data!$C$6:$Y$29,4,FALSE))</f>
        <v/>
      </c>
      <c r="M127" s="2" t="str">
        <f>IF($H127="","",VLOOKUP($H127,Data!$C$6:$Y$29,5,FALSE))</f>
        <v/>
      </c>
      <c r="N127" s="2" t="str">
        <f>IF($H127="","",VLOOKUP($H127,Data!$C$6:$Y$29,6,FALSE))</f>
        <v/>
      </c>
      <c r="O127" s="2" t="str">
        <f>IF($H127="","",VLOOKUP($H127,Data!$C$6:$Y$29,7,FALSE))</f>
        <v/>
      </c>
      <c r="P127" s="2" t="str">
        <f>IF($H127="","",VLOOKUP($H127,Data!$C$6:$Y$29,8,FALSE))</f>
        <v/>
      </c>
      <c r="Q127" s="2" t="str">
        <f>IF($H127="","",VLOOKUP($H127,Data!$C$6:$Y$29,9,FALSE))</f>
        <v/>
      </c>
      <c r="R127" s="2" t="str">
        <f>IF($H127="","",VLOOKUP($H127,Data!$C$6:$Y$29,10,FALSE))</f>
        <v/>
      </c>
      <c r="S127" s="2" t="str">
        <f>IF($H127="","",VLOOKUP($H127,Data!$C$6:$Y$29,11,FALSE))</f>
        <v/>
      </c>
      <c r="T127" s="2" t="str">
        <f>IF($H127="","",VLOOKUP($H127,Data!$C$6:$Y$29,12,FALSE))</f>
        <v/>
      </c>
      <c r="U127" s="2" t="str">
        <f>IF($H127="","",VLOOKUP($H127,Data!$C$6:$Y$29,13,FALSE))</f>
        <v/>
      </c>
      <c r="V127" s="2" t="str">
        <f>IF($H127="","",VLOOKUP($H127,Data!$C$6:$Y$29,14,FALSE))</f>
        <v/>
      </c>
      <c r="W127" s="2" t="str">
        <f>IF($H127="","",VLOOKUP($H127,Data!$C$6:$Y$29,15,FALSE))</f>
        <v/>
      </c>
      <c r="X127" s="2" t="str">
        <f>IF($H127="","",VLOOKUP($H127,Data!$C$6:$Y$29,16,FALSE))</f>
        <v/>
      </c>
      <c r="Y127" s="2" t="str">
        <f>IF($H127="","",VLOOKUP($H127,Data!$C$6:$Y$29,17,FALSE))</f>
        <v/>
      </c>
      <c r="Z127" s="2" t="str">
        <f>IF($H127="","",VLOOKUP($H127,Data!$C$6:$Y$29,18,FALSE))</f>
        <v/>
      </c>
      <c r="AA127" s="2" t="str">
        <f>IF($H127="","",VLOOKUP($H127,Data!$C$6:$Y$29,19,FALSE))</f>
        <v/>
      </c>
      <c r="AB127" s="2" t="str">
        <f>IF($H127="","",VLOOKUP($H127,Data!$C$6:$Y$29,20,FALSE))</f>
        <v/>
      </c>
      <c r="AC127" s="2" t="str">
        <f>IF($H127="","",VLOOKUP($H127,Data!$C$6:$Y$29,21,FALSE))</f>
        <v/>
      </c>
      <c r="AD127" s="2" t="str">
        <f>IF($H127="","",VLOOKUP($H127,Data!$C$6:$Y$29,22,FALSE))</f>
        <v/>
      </c>
      <c r="AE127" s="3" t="str">
        <f>IF($H127="","",VLOOKUP($H127,Data!$C$6:$Y$29,23,FALSE))</f>
        <v/>
      </c>
      <c r="AG127" s="76" t="str">
        <f>IF($E127="","",IF($C127="DUCTED",VLOOKUP($E127,'DX-Data'!$D$5:$J$11,7,TRUE),IF($C127="DECORATIVE",VLOOKUP($E127,'DX-Data'!$D$19:$J$23,7,TRUE),IF($C127="PACKAGED",VLOOKUP($E127,'DX-Data'!$D$24:$J$30,7,TRUE),IF($C127="DUCTED-INV",VLOOKUP($E127,'DX-Data'!$D$12:$J$18,7,TRUE),"CHOOSE AC TYPE")))))</f>
        <v/>
      </c>
      <c r="AH127" s="76" t="str">
        <f>IF($F$9=TRUE,IF($C127="DUCTED",VLOOKUP($F127,'DX-Data'!$F$5:$J$11,5,TRUE),IF($C127="DECORATIVE",VLOOKUP($F127,'DX-Data'!$F$19:$J$23,5,TRUE),IF($C127="PACKAGED",VLOOKUP($F127,'DX-Data'!$F$24:$J$30,5,TRUE),IF($C127="DUCTED-INV",VLOOKUP($F127,'DX-Data'!$F$12:$J$18,5,TRUE),"CHOOSE AC TYPE")))),"NO SELECTION")</f>
        <v>CHOOSE AC TYPE</v>
      </c>
      <c r="AI127" s="76" t="str">
        <f>IF($G$9=TRUE,IF($C127="DUCTED",VLOOKUP($G127,'DX-Data'!$H$5:$J$11,3,TRUE),IF($C127="DECORATIVE",VLOOKUP($G127,'DX-Data'!$H$19:$J$23,3,TRUE),IF($C127="PACKAGED",VLOOKUP($G127,'DX-Data'!$H$24:$J$30,3,TRUE),IF($C127="DUCTED-INV",VLOOKUP($G127,'DX-Data'!$H$12:$J$18,3,TRUE),"CHOOSE AC TYPE")))),"NO SELECTION")</f>
        <v>NO SELECTION</v>
      </c>
      <c r="AJ127" s="77" t="str">
        <f>IF($E127="","",IF($C127="DUCTED",VLOOKUP($E127,'DX-Data'!$D$5:$J$11,6,TRUE),IF($C127="DECORATIVE",VLOOKUP($E127,'DX-Data'!$D$19:$J$23,6,TRUE),IF($C127="PACKAGED",VLOOKUP($E127,'DX-Data'!$D$24:$J$30,6,TRUE),IF($C127="DUCTED-INV",VLOOKUP($E127,'DX-Data'!$D$12:$J$18,6,TRUE),0)))))</f>
        <v/>
      </c>
      <c r="AK127" s="77" t="str">
        <f>IF($F$9=TRUE,IF($C127="DUCTED",VLOOKUP($F127,'DX-Data'!$F$5:$J$11,4,TRUE),IF($C127="DECORATIVE",VLOOKUP($F127,'DX-Data'!$F$19:$J$23,4,TRUE),IF($C127="PACKAGED",VLOOKUP($F127,'DX-Data'!$F$24:$J$30,4,TRUE),IF($C127="DUCTED-INV",VLOOKUP($F127,'DX-Data'!$F$12:$J$18,4,TRUE),"CHOOSE AC TYPE")))),0)</f>
        <v>CHOOSE AC TYPE</v>
      </c>
      <c r="AL127" s="77">
        <f>IF($G$9=TRUE,IF($C127="DUCTED",VLOOKUP($G127,'DX-Data'!$H$5:$J$11,2,TRUE),IF($C127="DECORATIVE",VLOOKUP($G127,'DX-Data'!$H$19:$J$23,2,TRUE),IF($C127="PACKAGED",VLOOKUP($G127,'DX-Data'!$H$24:$J$30,2,TRUE),IF($C127="DUCTED-INV",VLOOKUP($G127,'DX-Data'!$H$12:$J$18,2,TRUE),"CHOOSE AC TYPE")))),0)</f>
        <v>0</v>
      </c>
      <c r="AM127" s="77">
        <f t="shared" si="11"/>
        <v>0</v>
      </c>
      <c r="AN127" s="76" t="str">
        <f>IF(E127="","",VLOOKUP($AM127,'DX-Data'!$I$5:$J$31,2,FALSE))</f>
        <v/>
      </c>
      <c r="AO127" s="77" t="str">
        <f t="shared" si="12"/>
        <v/>
      </c>
    </row>
    <row r="128" spans="2:41" hidden="1" x14ac:dyDescent="0.3">
      <c r="B128" s="71"/>
      <c r="C128" s="26"/>
      <c r="D128" s="27"/>
      <c r="E128" s="26"/>
      <c r="F128" s="26"/>
      <c r="G128" s="82"/>
      <c r="H128" s="74" t="str">
        <f t="shared" si="9"/>
        <v/>
      </c>
      <c r="I128" s="2" t="str">
        <f t="shared" si="10"/>
        <v/>
      </c>
      <c r="J128" s="21" t="str">
        <f>IF($H128="","",VLOOKUP($H128,Data!$C$6:$Y$29,2,FALSE))</f>
        <v/>
      </c>
      <c r="K128" s="2" t="str">
        <f>IF($H128="","",VLOOKUP($H128,Data!$C$6:$Y$29,3,FALSE))</f>
        <v/>
      </c>
      <c r="L128" s="2" t="str">
        <f>IF($H128="","",VLOOKUP($H128,Data!$C$6:$Y$29,4,FALSE))</f>
        <v/>
      </c>
      <c r="M128" s="2" t="str">
        <f>IF($H128="","",VLOOKUP($H128,Data!$C$6:$Y$29,5,FALSE))</f>
        <v/>
      </c>
      <c r="N128" s="2" t="str">
        <f>IF($H128="","",VLOOKUP($H128,Data!$C$6:$Y$29,6,FALSE))</f>
        <v/>
      </c>
      <c r="O128" s="2" t="str">
        <f>IF($H128="","",VLOOKUP($H128,Data!$C$6:$Y$29,7,FALSE))</f>
        <v/>
      </c>
      <c r="P128" s="2" t="str">
        <f>IF($H128="","",VLOOKUP($H128,Data!$C$6:$Y$29,8,FALSE))</f>
        <v/>
      </c>
      <c r="Q128" s="2" t="str">
        <f>IF($H128="","",VLOOKUP($H128,Data!$C$6:$Y$29,9,FALSE))</f>
        <v/>
      </c>
      <c r="R128" s="2" t="str">
        <f>IF($H128="","",VLOOKUP($H128,Data!$C$6:$Y$29,10,FALSE))</f>
        <v/>
      </c>
      <c r="S128" s="2" t="str">
        <f>IF($H128="","",VLOOKUP($H128,Data!$C$6:$Y$29,11,FALSE))</f>
        <v/>
      </c>
      <c r="T128" s="2" t="str">
        <f>IF($H128="","",VLOOKUP($H128,Data!$C$6:$Y$29,12,FALSE))</f>
        <v/>
      </c>
      <c r="U128" s="2" t="str">
        <f>IF($H128="","",VLOOKUP($H128,Data!$C$6:$Y$29,13,FALSE))</f>
        <v/>
      </c>
      <c r="V128" s="2" t="str">
        <f>IF($H128="","",VLOOKUP($H128,Data!$C$6:$Y$29,14,FALSE))</f>
        <v/>
      </c>
      <c r="W128" s="2" t="str">
        <f>IF($H128="","",VLOOKUP($H128,Data!$C$6:$Y$29,15,FALSE))</f>
        <v/>
      </c>
      <c r="X128" s="2" t="str">
        <f>IF($H128="","",VLOOKUP($H128,Data!$C$6:$Y$29,16,FALSE))</f>
        <v/>
      </c>
      <c r="Y128" s="2" t="str">
        <f>IF($H128="","",VLOOKUP($H128,Data!$C$6:$Y$29,17,FALSE))</f>
        <v/>
      </c>
      <c r="Z128" s="2" t="str">
        <f>IF($H128="","",VLOOKUP($H128,Data!$C$6:$Y$29,18,FALSE))</f>
        <v/>
      </c>
      <c r="AA128" s="2" t="str">
        <f>IF($H128="","",VLOOKUP($H128,Data!$C$6:$Y$29,19,FALSE))</f>
        <v/>
      </c>
      <c r="AB128" s="2" t="str">
        <f>IF($H128="","",VLOOKUP($H128,Data!$C$6:$Y$29,20,FALSE))</f>
        <v/>
      </c>
      <c r="AC128" s="2" t="str">
        <f>IF($H128="","",VLOOKUP($H128,Data!$C$6:$Y$29,21,FALSE))</f>
        <v/>
      </c>
      <c r="AD128" s="2" t="str">
        <f>IF($H128="","",VLOOKUP($H128,Data!$C$6:$Y$29,22,FALSE))</f>
        <v/>
      </c>
      <c r="AE128" s="3" t="str">
        <f>IF($H128="","",VLOOKUP($H128,Data!$C$6:$Y$29,23,FALSE))</f>
        <v/>
      </c>
      <c r="AG128" s="76" t="str">
        <f>IF($E128="","",IF($C128="DUCTED",VLOOKUP($E128,'DX-Data'!$D$5:$J$11,7,TRUE),IF($C128="DECORATIVE",VLOOKUP($E128,'DX-Data'!$D$19:$J$23,7,TRUE),IF($C128="PACKAGED",VLOOKUP($E128,'DX-Data'!$D$24:$J$30,7,TRUE),IF($C128="DUCTED-INV",VLOOKUP($E128,'DX-Data'!$D$12:$J$18,7,TRUE),"CHOOSE AC TYPE")))))</f>
        <v/>
      </c>
      <c r="AH128" s="76" t="str">
        <f>IF($F$9=TRUE,IF($C128="DUCTED",VLOOKUP($F128,'DX-Data'!$F$5:$J$11,5,TRUE),IF($C128="DECORATIVE",VLOOKUP($F128,'DX-Data'!$F$19:$J$23,5,TRUE),IF($C128="PACKAGED",VLOOKUP($F128,'DX-Data'!$F$24:$J$30,5,TRUE),IF($C128="DUCTED-INV",VLOOKUP($F128,'DX-Data'!$F$12:$J$18,5,TRUE),"CHOOSE AC TYPE")))),"NO SELECTION")</f>
        <v>CHOOSE AC TYPE</v>
      </c>
      <c r="AI128" s="76" t="str">
        <f>IF($G$9=TRUE,IF($C128="DUCTED",VLOOKUP($G128,'DX-Data'!$H$5:$J$11,3,TRUE),IF($C128="DECORATIVE",VLOOKUP($G128,'DX-Data'!$H$19:$J$23,3,TRUE),IF($C128="PACKAGED",VLOOKUP($G128,'DX-Data'!$H$24:$J$30,3,TRUE),IF($C128="DUCTED-INV",VLOOKUP($G128,'DX-Data'!$H$12:$J$18,3,TRUE),"CHOOSE AC TYPE")))),"NO SELECTION")</f>
        <v>NO SELECTION</v>
      </c>
      <c r="AJ128" s="77" t="str">
        <f>IF($E128="","",IF($C128="DUCTED",VLOOKUP($E128,'DX-Data'!$D$5:$J$11,6,TRUE),IF($C128="DECORATIVE",VLOOKUP($E128,'DX-Data'!$D$19:$J$23,6,TRUE),IF($C128="PACKAGED",VLOOKUP($E128,'DX-Data'!$D$24:$J$30,6,TRUE),IF($C128="DUCTED-INV",VLOOKUP($E128,'DX-Data'!$D$12:$J$18,6,TRUE),0)))))</f>
        <v/>
      </c>
      <c r="AK128" s="77" t="str">
        <f>IF($F$9=TRUE,IF($C128="DUCTED",VLOOKUP($F128,'DX-Data'!$F$5:$J$11,4,TRUE),IF($C128="DECORATIVE",VLOOKUP($F128,'DX-Data'!$F$19:$J$23,4,TRUE),IF($C128="PACKAGED",VLOOKUP($F128,'DX-Data'!$F$24:$J$30,4,TRUE),IF($C128="DUCTED-INV",VLOOKUP($F128,'DX-Data'!$F$12:$J$18,4,TRUE),"CHOOSE AC TYPE")))),0)</f>
        <v>CHOOSE AC TYPE</v>
      </c>
      <c r="AL128" s="77">
        <f>IF($G$9=TRUE,IF($C128="DUCTED",VLOOKUP($G128,'DX-Data'!$H$5:$J$11,2,TRUE),IF($C128="DECORATIVE",VLOOKUP($G128,'DX-Data'!$H$19:$J$23,2,TRUE),IF($C128="PACKAGED",VLOOKUP($G128,'DX-Data'!$H$24:$J$30,2,TRUE),IF($C128="DUCTED-INV",VLOOKUP($G128,'DX-Data'!$H$12:$J$18,2,TRUE),"CHOOSE AC TYPE")))),0)</f>
        <v>0</v>
      </c>
      <c r="AM128" s="77">
        <f t="shared" si="11"/>
        <v>0</v>
      </c>
      <c r="AN128" s="76" t="str">
        <f>IF(E128="","",VLOOKUP($AM128,'DX-Data'!$I$5:$J$31,2,FALSE))</f>
        <v/>
      </c>
      <c r="AO128" s="77" t="str">
        <f t="shared" si="12"/>
        <v/>
      </c>
    </row>
    <row r="129" spans="2:41" hidden="1" x14ac:dyDescent="0.3">
      <c r="B129" s="71"/>
      <c r="C129" s="26"/>
      <c r="D129" s="27"/>
      <c r="E129" s="26"/>
      <c r="F129" s="26"/>
      <c r="G129" s="82"/>
      <c r="H129" s="74" t="str">
        <f t="shared" si="9"/>
        <v/>
      </c>
      <c r="I129" s="2" t="str">
        <f t="shared" si="10"/>
        <v/>
      </c>
      <c r="J129" s="21" t="str">
        <f>IF($H129="","",VLOOKUP($H129,Data!$C$6:$Y$29,2,FALSE))</f>
        <v/>
      </c>
      <c r="K129" s="2" t="str">
        <f>IF($H129="","",VLOOKUP($H129,Data!$C$6:$Y$29,3,FALSE))</f>
        <v/>
      </c>
      <c r="L129" s="2" t="str">
        <f>IF($H129="","",VLOOKUP($H129,Data!$C$6:$Y$29,4,FALSE))</f>
        <v/>
      </c>
      <c r="M129" s="2" t="str">
        <f>IF($H129="","",VLOOKUP($H129,Data!$C$6:$Y$29,5,FALSE))</f>
        <v/>
      </c>
      <c r="N129" s="2" t="str">
        <f>IF($H129="","",VLOOKUP($H129,Data!$C$6:$Y$29,6,FALSE))</f>
        <v/>
      </c>
      <c r="O129" s="2" t="str">
        <f>IF($H129="","",VLOOKUP($H129,Data!$C$6:$Y$29,7,FALSE))</f>
        <v/>
      </c>
      <c r="P129" s="2" t="str">
        <f>IF($H129="","",VLOOKUP($H129,Data!$C$6:$Y$29,8,FALSE))</f>
        <v/>
      </c>
      <c r="Q129" s="2" t="str">
        <f>IF($H129="","",VLOOKUP($H129,Data!$C$6:$Y$29,9,FALSE))</f>
        <v/>
      </c>
      <c r="R129" s="2" t="str">
        <f>IF($H129="","",VLOOKUP($H129,Data!$C$6:$Y$29,10,FALSE))</f>
        <v/>
      </c>
      <c r="S129" s="2" t="str">
        <f>IF($H129="","",VLOOKUP($H129,Data!$C$6:$Y$29,11,FALSE))</f>
        <v/>
      </c>
      <c r="T129" s="2" t="str">
        <f>IF($H129="","",VLOOKUP($H129,Data!$C$6:$Y$29,12,FALSE))</f>
        <v/>
      </c>
      <c r="U129" s="2" t="str">
        <f>IF($H129="","",VLOOKUP($H129,Data!$C$6:$Y$29,13,FALSE))</f>
        <v/>
      </c>
      <c r="V129" s="2" t="str">
        <f>IF($H129="","",VLOOKUP($H129,Data!$C$6:$Y$29,14,FALSE))</f>
        <v/>
      </c>
      <c r="W129" s="2" t="str">
        <f>IF($H129="","",VLOOKUP($H129,Data!$C$6:$Y$29,15,FALSE))</f>
        <v/>
      </c>
      <c r="X129" s="2" t="str">
        <f>IF($H129="","",VLOOKUP($H129,Data!$C$6:$Y$29,16,FALSE))</f>
        <v/>
      </c>
      <c r="Y129" s="2" t="str">
        <f>IF($H129="","",VLOOKUP($H129,Data!$C$6:$Y$29,17,FALSE))</f>
        <v/>
      </c>
      <c r="Z129" s="2" t="str">
        <f>IF($H129="","",VLOOKUP($H129,Data!$C$6:$Y$29,18,FALSE))</f>
        <v/>
      </c>
      <c r="AA129" s="2" t="str">
        <f>IF($H129="","",VLOOKUP($H129,Data!$C$6:$Y$29,19,FALSE))</f>
        <v/>
      </c>
      <c r="AB129" s="2" t="str">
        <f>IF($H129="","",VLOOKUP($H129,Data!$C$6:$Y$29,20,FALSE))</f>
        <v/>
      </c>
      <c r="AC129" s="2" t="str">
        <f>IF($H129="","",VLOOKUP($H129,Data!$C$6:$Y$29,21,FALSE))</f>
        <v/>
      </c>
      <c r="AD129" s="2" t="str">
        <f>IF($H129="","",VLOOKUP($H129,Data!$C$6:$Y$29,22,FALSE))</f>
        <v/>
      </c>
      <c r="AE129" s="3" t="str">
        <f>IF($H129="","",VLOOKUP($H129,Data!$C$6:$Y$29,23,FALSE))</f>
        <v/>
      </c>
      <c r="AG129" s="76" t="str">
        <f>IF($E129="","",IF($C129="DUCTED",VLOOKUP($E129,'DX-Data'!$D$5:$J$11,7,TRUE),IF($C129="DECORATIVE",VLOOKUP($E129,'DX-Data'!$D$19:$J$23,7,TRUE),IF($C129="PACKAGED",VLOOKUP($E129,'DX-Data'!$D$24:$J$30,7,TRUE),IF($C129="DUCTED-INV",VLOOKUP($E129,'DX-Data'!$D$12:$J$18,7,TRUE),"CHOOSE AC TYPE")))))</f>
        <v/>
      </c>
      <c r="AH129" s="76" t="str">
        <f>IF($F$9=TRUE,IF($C129="DUCTED",VLOOKUP($F129,'DX-Data'!$F$5:$J$11,5,TRUE),IF($C129="DECORATIVE",VLOOKUP($F129,'DX-Data'!$F$19:$J$23,5,TRUE),IF($C129="PACKAGED",VLOOKUP($F129,'DX-Data'!$F$24:$J$30,5,TRUE),IF($C129="DUCTED-INV",VLOOKUP($F129,'DX-Data'!$F$12:$J$18,5,TRUE),"CHOOSE AC TYPE")))),"NO SELECTION")</f>
        <v>CHOOSE AC TYPE</v>
      </c>
      <c r="AI129" s="76" t="str">
        <f>IF($G$9=TRUE,IF($C129="DUCTED",VLOOKUP($G129,'DX-Data'!$H$5:$J$11,3,TRUE),IF($C129="DECORATIVE",VLOOKUP($G129,'DX-Data'!$H$19:$J$23,3,TRUE),IF($C129="PACKAGED",VLOOKUP($G129,'DX-Data'!$H$24:$J$30,3,TRUE),IF($C129="DUCTED-INV",VLOOKUP($G129,'DX-Data'!$H$12:$J$18,3,TRUE),"CHOOSE AC TYPE")))),"NO SELECTION")</f>
        <v>NO SELECTION</v>
      </c>
      <c r="AJ129" s="77" t="str">
        <f>IF($E129="","",IF($C129="DUCTED",VLOOKUP($E129,'DX-Data'!$D$5:$J$11,6,TRUE),IF($C129="DECORATIVE",VLOOKUP($E129,'DX-Data'!$D$19:$J$23,6,TRUE),IF($C129="PACKAGED",VLOOKUP($E129,'DX-Data'!$D$24:$J$30,6,TRUE),IF($C129="DUCTED-INV",VLOOKUP($E129,'DX-Data'!$D$12:$J$18,6,TRUE),0)))))</f>
        <v/>
      </c>
      <c r="AK129" s="77" t="str">
        <f>IF($F$9=TRUE,IF($C129="DUCTED",VLOOKUP($F129,'DX-Data'!$F$5:$J$11,4,TRUE),IF($C129="DECORATIVE",VLOOKUP($F129,'DX-Data'!$F$19:$J$23,4,TRUE),IF($C129="PACKAGED",VLOOKUP($F129,'DX-Data'!$F$24:$J$30,4,TRUE),IF($C129="DUCTED-INV",VLOOKUP($F129,'DX-Data'!$F$12:$J$18,4,TRUE),"CHOOSE AC TYPE")))),0)</f>
        <v>CHOOSE AC TYPE</v>
      </c>
      <c r="AL129" s="77">
        <f>IF($G$9=TRUE,IF($C129="DUCTED",VLOOKUP($G129,'DX-Data'!$H$5:$J$11,2,TRUE),IF($C129="DECORATIVE",VLOOKUP($G129,'DX-Data'!$H$19:$J$23,2,TRUE),IF($C129="PACKAGED",VLOOKUP($G129,'DX-Data'!$H$24:$J$30,2,TRUE),IF($C129="DUCTED-INV",VLOOKUP($G129,'DX-Data'!$H$12:$J$18,2,TRUE),"CHOOSE AC TYPE")))),0)</f>
        <v>0</v>
      </c>
      <c r="AM129" s="77">
        <f t="shared" si="11"/>
        <v>0</v>
      </c>
      <c r="AN129" s="76" t="str">
        <f>IF(E129="","",VLOOKUP($AM129,'DX-Data'!$I$5:$J$31,2,FALSE))</f>
        <v/>
      </c>
      <c r="AO129" s="77" t="str">
        <f t="shared" si="12"/>
        <v/>
      </c>
    </row>
    <row r="130" spans="2:41" hidden="1" x14ac:dyDescent="0.3">
      <c r="B130" s="71"/>
      <c r="C130" s="26"/>
      <c r="D130" s="27"/>
      <c r="E130" s="26"/>
      <c r="F130" s="26"/>
      <c r="G130" s="82"/>
      <c r="H130" s="74" t="str">
        <f t="shared" si="9"/>
        <v/>
      </c>
      <c r="I130" s="2" t="str">
        <f t="shared" si="10"/>
        <v/>
      </c>
      <c r="J130" s="21" t="str">
        <f>IF($H130="","",VLOOKUP($H130,Data!$C$6:$Y$29,2,FALSE))</f>
        <v/>
      </c>
      <c r="K130" s="2" t="str">
        <f>IF($H130="","",VLOOKUP($H130,Data!$C$6:$Y$29,3,FALSE))</f>
        <v/>
      </c>
      <c r="L130" s="2" t="str">
        <f>IF($H130="","",VLOOKUP($H130,Data!$C$6:$Y$29,4,FALSE))</f>
        <v/>
      </c>
      <c r="M130" s="2" t="str">
        <f>IF($H130="","",VLOOKUP($H130,Data!$C$6:$Y$29,5,FALSE))</f>
        <v/>
      </c>
      <c r="N130" s="2" t="str">
        <f>IF($H130="","",VLOOKUP($H130,Data!$C$6:$Y$29,6,FALSE))</f>
        <v/>
      </c>
      <c r="O130" s="2" t="str">
        <f>IF($H130="","",VLOOKUP($H130,Data!$C$6:$Y$29,7,FALSE))</f>
        <v/>
      </c>
      <c r="P130" s="2" t="str">
        <f>IF($H130="","",VLOOKUP($H130,Data!$C$6:$Y$29,8,FALSE))</f>
        <v/>
      </c>
      <c r="Q130" s="2" t="str">
        <f>IF($H130="","",VLOOKUP($H130,Data!$C$6:$Y$29,9,FALSE))</f>
        <v/>
      </c>
      <c r="R130" s="2" t="str">
        <f>IF($H130="","",VLOOKUP($H130,Data!$C$6:$Y$29,10,FALSE))</f>
        <v/>
      </c>
      <c r="S130" s="2" t="str">
        <f>IF($H130="","",VLOOKUP($H130,Data!$C$6:$Y$29,11,FALSE))</f>
        <v/>
      </c>
      <c r="T130" s="2" t="str">
        <f>IF($H130="","",VLOOKUP($H130,Data!$C$6:$Y$29,12,FALSE))</f>
        <v/>
      </c>
      <c r="U130" s="2" t="str">
        <f>IF($H130="","",VLOOKUP($H130,Data!$C$6:$Y$29,13,FALSE))</f>
        <v/>
      </c>
      <c r="V130" s="2" t="str">
        <f>IF($H130="","",VLOOKUP($H130,Data!$C$6:$Y$29,14,FALSE))</f>
        <v/>
      </c>
      <c r="W130" s="2" t="str">
        <f>IF($H130="","",VLOOKUP($H130,Data!$C$6:$Y$29,15,FALSE))</f>
        <v/>
      </c>
      <c r="X130" s="2" t="str">
        <f>IF($H130="","",VLOOKUP($H130,Data!$C$6:$Y$29,16,FALSE))</f>
        <v/>
      </c>
      <c r="Y130" s="2" t="str">
        <f>IF($H130="","",VLOOKUP($H130,Data!$C$6:$Y$29,17,FALSE))</f>
        <v/>
      </c>
      <c r="Z130" s="2" t="str">
        <f>IF($H130="","",VLOOKUP($H130,Data!$C$6:$Y$29,18,FALSE))</f>
        <v/>
      </c>
      <c r="AA130" s="2" t="str">
        <f>IF($H130="","",VLOOKUP($H130,Data!$C$6:$Y$29,19,FALSE))</f>
        <v/>
      </c>
      <c r="AB130" s="2" t="str">
        <f>IF($H130="","",VLOOKUP($H130,Data!$C$6:$Y$29,20,FALSE))</f>
        <v/>
      </c>
      <c r="AC130" s="2" t="str">
        <f>IF($H130="","",VLOOKUP($H130,Data!$C$6:$Y$29,21,FALSE))</f>
        <v/>
      </c>
      <c r="AD130" s="2" t="str">
        <f>IF($H130="","",VLOOKUP($H130,Data!$C$6:$Y$29,22,FALSE))</f>
        <v/>
      </c>
      <c r="AE130" s="3" t="str">
        <f>IF($H130="","",VLOOKUP($H130,Data!$C$6:$Y$29,23,FALSE))</f>
        <v/>
      </c>
      <c r="AG130" s="76" t="str">
        <f>IF($E130="","",IF($C130="DUCTED",VLOOKUP($E130,'DX-Data'!$D$5:$J$11,7,TRUE),IF($C130="DECORATIVE",VLOOKUP($E130,'DX-Data'!$D$19:$J$23,7,TRUE),IF($C130="PACKAGED",VLOOKUP($E130,'DX-Data'!$D$24:$J$30,7,TRUE),IF($C130="DUCTED-INV",VLOOKUP($E130,'DX-Data'!$D$12:$J$18,7,TRUE),"CHOOSE AC TYPE")))))</f>
        <v/>
      </c>
      <c r="AH130" s="76" t="str">
        <f>IF($F$9=TRUE,IF($C130="DUCTED",VLOOKUP($F130,'DX-Data'!$F$5:$J$11,5,TRUE),IF($C130="DECORATIVE",VLOOKUP($F130,'DX-Data'!$F$19:$J$23,5,TRUE),IF($C130="PACKAGED",VLOOKUP($F130,'DX-Data'!$F$24:$J$30,5,TRUE),IF($C130="DUCTED-INV",VLOOKUP($F130,'DX-Data'!$F$12:$J$18,5,TRUE),"CHOOSE AC TYPE")))),"NO SELECTION")</f>
        <v>CHOOSE AC TYPE</v>
      </c>
      <c r="AI130" s="76" t="str">
        <f>IF($G$9=TRUE,IF($C130="DUCTED",VLOOKUP($G130,'DX-Data'!$H$5:$J$11,3,TRUE),IF($C130="DECORATIVE",VLOOKUP($G130,'DX-Data'!$H$19:$J$23,3,TRUE),IF($C130="PACKAGED",VLOOKUP($G130,'DX-Data'!$H$24:$J$30,3,TRUE),IF($C130="DUCTED-INV",VLOOKUP($G130,'DX-Data'!$H$12:$J$18,3,TRUE),"CHOOSE AC TYPE")))),"NO SELECTION")</f>
        <v>NO SELECTION</v>
      </c>
      <c r="AJ130" s="77" t="str">
        <f>IF($E130="","",IF($C130="DUCTED",VLOOKUP($E130,'DX-Data'!$D$5:$J$11,6,TRUE),IF($C130="DECORATIVE",VLOOKUP($E130,'DX-Data'!$D$19:$J$23,6,TRUE),IF($C130="PACKAGED",VLOOKUP($E130,'DX-Data'!$D$24:$J$30,6,TRUE),IF($C130="DUCTED-INV",VLOOKUP($E130,'DX-Data'!$D$12:$J$18,6,TRUE),0)))))</f>
        <v/>
      </c>
      <c r="AK130" s="77" t="str">
        <f>IF($F$9=TRUE,IF($C130="DUCTED",VLOOKUP($F130,'DX-Data'!$F$5:$J$11,4,TRUE),IF($C130="DECORATIVE",VLOOKUP($F130,'DX-Data'!$F$19:$J$23,4,TRUE),IF($C130="PACKAGED",VLOOKUP($F130,'DX-Data'!$F$24:$J$30,4,TRUE),IF($C130="DUCTED-INV",VLOOKUP($F130,'DX-Data'!$F$12:$J$18,4,TRUE),"CHOOSE AC TYPE")))),0)</f>
        <v>CHOOSE AC TYPE</v>
      </c>
      <c r="AL130" s="77">
        <f>IF($G$9=TRUE,IF($C130="DUCTED",VLOOKUP($G130,'DX-Data'!$H$5:$J$11,2,TRUE),IF($C130="DECORATIVE",VLOOKUP($G130,'DX-Data'!$H$19:$J$23,2,TRUE),IF($C130="PACKAGED",VLOOKUP($G130,'DX-Data'!$H$24:$J$30,2,TRUE),IF($C130="DUCTED-INV",VLOOKUP($G130,'DX-Data'!$H$12:$J$18,2,TRUE),"CHOOSE AC TYPE")))),0)</f>
        <v>0</v>
      </c>
      <c r="AM130" s="77">
        <f t="shared" si="11"/>
        <v>0</v>
      </c>
      <c r="AN130" s="76" t="str">
        <f>IF(E130="","",VLOOKUP($AM130,'DX-Data'!$I$5:$J$31,2,FALSE))</f>
        <v/>
      </c>
      <c r="AO130" s="77" t="str">
        <f t="shared" si="12"/>
        <v/>
      </c>
    </row>
    <row r="131" spans="2:41" hidden="1" x14ac:dyDescent="0.3">
      <c r="B131" s="71"/>
      <c r="C131" s="26"/>
      <c r="D131" s="27"/>
      <c r="E131" s="26"/>
      <c r="F131" s="26"/>
      <c r="G131" s="82"/>
      <c r="H131" s="74" t="str">
        <f t="shared" si="9"/>
        <v/>
      </c>
      <c r="I131" s="2" t="str">
        <f t="shared" si="10"/>
        <v/>
      </c>
      <c r="J131" s="21" t="str">
        <f>IF($H131="","",VLOOKUP($H131,Data!$C$6:$Y$29,2,FALSE))</f>
        <v/>
      </c>
      <c r="K131" s="2" t="str">
        <f>IF($H131="","",VLOOKUP($H131,Data!$C$6:$Y$29,3,FALSE))</f>
        <v/>
      </c>
      <c r="L131" s="2" t="str">
        <f>IF($H131="","",VLOOKUP($H131,Data!$C$6:$Y$29,4,FALSE))</f>
        <v/>
      </c>
      <c r="M131" s="2" t="str">
        <f>IF($H131="","",VLOOKUP($H131,Data!$C$6:$Y$29,5,FALSE))</f>
        <v/>
      </c>
      <c r="N131" s="2" t="str">
        <f>IF($H131="","",VLOOKUP($H131,Data!$C$6:$Y$29,6,FALSE))</f>
        <v/>
      </c>
      <c r="O131" s="2" t="str">
        <f>IF($H131="","",VLOOKUP($H131,Data!$C$6:$Y$29,7,FALSE))</f>
        <v/>
      </c>
      <c r="P131" s="2" t="str">
        <f>IF($H131="","",VLOOKUP($H131,Data!$C$6:$Y$29,8,FALSE))</f>
        <v/>
      </c>
      <c r="Q131" s="2" t="str">
        <f>IF($H131="","",VLOOKUP($H131,Data!$C$6:$Y$29,9,FALSE))</f>
        <v/>
      </c>
      <c r="R131" s="2" t="str">
        <f>IF($H131="","",VLOOKUP($H131,Data!$C$6:$Y$29,10,FALSE))</f>
        <v/>
      </c>
      <c r="S131" s="2" t="str">
        <f>IF($H131="","",VLOOKUP($H131,Data!$C$6:$Y$29,11,FALSE))</f>
        <v/>
      </c>
      <c r="T131" s="2" t="str">
        <f>IF($H131="","",VLOOKUP($H131,Data!$C$6:$Y$29,12,FALSE))</f>
        <v/>
      </c>
      <c r="U131" s="2" t="str">
        <f>IF($H131="","",VLOOKUP($H131,Data!$C$6:$Y$29,13,FALSE))</f>
        <v/>
      </c>
      <c r="V131" s="2" t="str">
        <f>IF($H131="","",VLOOKUP($H131,Data!$C$6:$Y$29,14,FALSE))</f>
        <v/>
      </c>
      <c r="W131" s="2" t="str">
        <f>IF($H131="","",VLOOKUP($H131,Data!$C$6:$Y$29,15,FALSE))</f>
        <v/>
      </c>
      <c r="X131" s="2" t="str">
        <f>IF($H131="","",VLOOKUP($H131,Data!$C$6:$Y$29,16,FALSE))</f>
        <v/>
      </c>
      <c r="Y131" s="2" t="str">
        <f>IF($H131="","",VLOOKUP($H131,Data!$C$6:$Y$29,17,FALSE))</f>
        <v/>
      </c>
      <c r="Z131" s="2" t="str">
        <f>IF($H131="","",VLOOKUP($H131,Data!$C$6:$Y$29,18,FALSE))</f>
        <v/>
      </c>
      <c r="AA131" s="2" t="str">
        <f>IF($H131="","",VLOOKUP($H131,Data!$C$6:$Y$29,19,FALSE))</f>
        <v/>
      </c>
      <c r="AB131" s="2" t="str">
        <f>IF($H131="","",VLOOKUP($H131,Data!$C$6:$Y$29,20,FALSE))</f>
        <v/>
      </c>
      <c r="AC131" s="2" t="str">
        <f>IF($H131="","",VLOOKUP($H131,Data!$C$6:$Y$29,21,FALSE))</f>
        <v/>
      </c>
      <c r="AD131" s="2" t="str">
        <f>IF($H131="","",VLOOKUP($H131,Data!$C$6:$Y$29,22,FALSE))</f>
        <v/>
      </c>
      <c r="AE131" s="3" t="str">
        <f>IF($H131="","",VLOOKUP($H131,Data!$C$6:$Y$29,23,FALSE))</f>
        <v/>
      </c>
      <c r="AG131" s="76" t="str">
        <f>IF($E131="","",IF($C131="DUCTED",VLOOKUP($E131,'DX-Data'!$D$5:$J$11,7,TRUE),IF($C131="DECORATIVE",VLOOKUP($E131,'DX-Data'!$D$19:$J$23,7,TRUE),IF($C131="PACKAGED",VLOOKUP($E131,'DX-Data'!$D$24:$J$30,7,TRUE),IF($C131="DUCTED-INV",VLOOKUP($E131,'DX-Data'!$D$12:$J$18,7,TRUE),"CHOOSE AC TYPE")))))</f>
        <v/>
      </c>
      <c r="AH131" s="76" t="str">
        <f>IF($F$9=TRUE,IF($C131="DUCTED",VLOOKUP($F131,'DX-Data'!$F$5:$J$11,5,TRUE),IF($C131="DECORATIVE",VLOOKUP($F131,'DX-Data'!$F$19:$J$23,5,TRUE),IF($C131="PACKAGED",VLOOKUP($F131,'DX-Data'!$F$24:$J$30,5,TRUE),IF($C131="DUCTED-INV",VLOOKUP($F131,'DX-Data'!$F$12:$J$18,5,TRUE),"CHOOSE AC TYPE")))),"NO SELECTION")</f>
        <v>CHOOSE AC TYPE</v>
      </c>
      <c r="AI131" s="76" t="str">
        <f>IF($G$9=TRUE,IF($C131="DUCTED",VLOOKUP($G131,'DX-Data'!$H$5:$J$11,3,TRUE),IF($C131="DECORATIVE",VLOOKUP($G131,'DX-Data'!$H$19:$J$23,3,TRUE),IF($C131="PACKAGED",VLOOKUP($G131,'DX-Data'!$H$24:$J$30,3,TRUE),IF($C131="DUCTED-INV",VLOOKUP($G131,'DX-Data'!$H$12:$J$18,3,TRUE),"CHOOSE AC TYPE")))),"NO SELECTION")</f>
        <v>NO SELECTION</v>
      </c>
      <c r="AJ131" s="77" t="str">
        <f>IF($E131="","",IF($C131="DUCTED",VLOOKUP($E131,'DX-Data'!$D$5:$J$11,6,TRUE),IF($C131="DECORATIVE",VLOOKUP($E131,'DX-Data'!$D$19:$J$23,6,TRUE),IF($C131="PACKAGED",VLOOKUP($E131,'DX-Data'!$D$24:$J$30,6,TRUE),IF($C131="DUCTED-INV",VLOOKUP($E131,'DX-Data'!$D$12:$J$18,6,TRUE),0)))))</f>
        <v/>
      </c>
      <c r="AK131" s="77" t="str">
        <f>IF($F$9=TRUE,IF($C131="DUCTED",VLOOKUP($F131,'DX-Data'!$F$5:$J$11,4,TRUE),IF($C131="DECORATIVE",VLOOKUP($F131,'DX-Data'!$F$19:$J$23,4,TRUE),IF($C131="PACKAGED",VLOOKUP($F131,'DX-Data'!$F$24:$J$30,4,TRUE),IF($C131="DUCTED-INV",VLOOKUP($F131,'DX-Data'!$F$12:$J$18,4,TRUE),"CHOOSE AC TYPE")))),0)</f>
        <v>CHOOSE AC TYPE</v>
      </c>
      <c r="AL131" s="77">
        <f>IF($G$9=TRUE,IF($C131="DUCTED",VLOOKUP($G131,'DX-Data'!$H$5:$J$11,2,TRUE),IF($C131="DECORATIVE",VLOOKUP($G131,'DX-Data'!$H$19:$J$23,2,TRUE),IF($C131="PACKAGED",VLOOKUP($G131,'DX-Data'!$H$24:$J$30,2,TRUE),IF($C131="DUCTED-INV",VLOOKUP($G131,'DX-Data'!$H$12:$J$18,2,TRUE),"CHOOSE AC TYPE")))),0)</f>
        <v>0</v>
      </c>
      <c r="AM131" s="77">
        <f t="shared" si="11"/>
        <v>0</v>
      </c>
      <c r="AN131" s="76" t="str">
        <f>IF(E131="","",VLOOKUP($AM131,'DX-Data'!$I$5:$J$31,2,FALSE))</f>
        <v/>
      </c>
      <c r="AO131" s="77" t="str">
        <f t="shared" si="12"/>
        <v/>
      </c>
    </row>
    <row r="132" spans="2:41" hidden="1" x14ac:dyDescent="0.3">
      <c r="B132" s="71"/>
      <c r="C132" s="26"/>
      <c r="D132" s="27"/>
      <c r="E132" s="26"/>
      <c r="F132" s="26"/>
      <c r="G132" s="82"/>
      <c r="H132" s="74" t="str">
        <f t="shared" si="9"/>
        <v/>
      </c>
      <c r="I132" s="2" t="str">
        <f t="shared" si="10"/>
        <v/>
      </c>
      <c r="J132" s="21" t="str">
        <f>IF($H132="","",VLOOKUP($H132,Data!$C$6:$Y$29,2,FALSE))</f>
        <v/>
      </c>
      <c r="K132" s="2" t="str">
        <f>IF($H132="","",VLOOKUP($H132,Data!$C$6:$Y$29,3,FALSE))</f>
        <v/>
      </c>
      <c r="L132" s="2" t="str">
        <f>IF($H132="","",VLOOKUP($H132,Data!$C$6:$Y$29,4,FALSE))</f>
        <v/>
      </c>
      <c r="M132" s="2" t="str">
        <f>IF($H132="","",VLOOKUP($H132,Data!$C$6:$Y$29,5,FALSE))</f>
        <v/>
      </c>
      <c r="N132" s="2" t="str">
        <f>IF($H132="","",VLOOKUP($H132,Data!$C$6:$Y$29,6,FALSE))</f>
        <v/>
      </c>
      <c r="O132" s="2" t="str">
        <f>IF($H132="","",VLOOKUP($H132,Data!$C$6:$Y$29,7,FALSE))</f>
        <v/>
      </c>
      <c r="P132" s="2" t="str">
        <f>IF($H132="","",VLOOKUP($H132,Data!$C$6:$Y$29,8,FALSE))</f>
        <v/>
      </c>
      <c r="Q132" s="2" t="str">
        <f>IF($H132="","",VLOOKUP($H132,Data!$C$6:$Y$29,9,FALSE))</f>
        <v/>
      </c>
      <c r="R132" s="2" t="str">
        <f>IF($H132="","",VLOOKUP($H132,Data!$C$6:$Y$29,10,FALSE))</f>
        <v/>
      </c>
      <c r="S132" s="2" t="str">
        <f>IF($H132="","",VLOOKUP($H132,Data!$C$6:$Y$29,11,FALSE))</f>
        <v/>
      </c>
      <c r="T132" s="2" t="str">
        <f>IF($H132="","",VLOOKUP($H132,Data!$C$6:$Y$29,12,FALSE))</f>
        <v/>
      </c>
      <c r="U132" s="2" t="str">
        <f>IF($H132="","",VLOOKUP($H132,Data!$C$6:$Y$29,13,FALSE))</f>
        <v/>
      </c>
      <c r="V132" s="2" t="str">
        <f>IF($H132="","",VLOOKUP($H132,Data!$C$6:$Y$29,14,FALSE))</f>
        <v/>
      </c>
      <c r="W132" s="2" t="str">
        <f>IF($H132="","",VLOOKUP($H132,Data!$C$6:$Y$29,15,FALSE))</f>
        <v/>
      </c>
      <c r="X132" s="2" t="str">
        <f>IF($H132="","",VLOOKUP($H132,Data!$C$6:$Y$29,16,FALSE))</f>
        <v/>
      </c>
      <c r="Y132" s="2" t="str">
        <f>IF($H132="","",VLOOKUP($H132,Data!$C$6:$Y$29,17,FALSE))</f>
        <v/>
      </c>
      <c r="Z132" s="2" t="str">
        <f>IF($H132="","",VLOOKUP($H132,Data!$C$6:$Y$29,18,FALSE))</f>
        <v/>
      </c>
      <c r="AA132" s="2" t="str">
        <f>IF($H132="","",VLOOKUP($H132,Data!$C$6:$Y$29,19,FALSE))</f>
        <v/>
      </c>
      <c r="AB132" s="2" t="str">
        <f>IF($H132="","",VLOOKUP($H132,Data!$C$6:$Y$29,20,FALSE))</f>
        <v/>
      </c>
      <c r="AC132" s="2" t="str">
        <f>IF($H132="","",VLOOKUP($H132,Data!$C$6:$Y$29,21,FALSE))</f>
        <v/>
      </c>
      <c r="AD132" s="2" t="str">
        <f>IF($H132="","",VLOOKUP($H132,Data!$C$6:$Y$29,22,FALSE))</f>
        <v/>
      </c>
      <c r="AE132" s="3" t="str">
        <f>IF($H132="","",VLOOKUP($H132,Data!$C$6:$Y$29,23,FALSE))</f>
        <v/>
      </c>
      <c r="AG132" s="76" t="str">
        <f>IF($E132="","",IF($C132="DUCTED",VLOOKUP($E132,'DX-Data'!$D$5:$J$11,7,TRUE),IF($C132="DECORATIVE",VLOOKUP($E132,'DX-Data'!$D$19:$J$23,7,TRUE),IF($C132="PACKAGED",VLOOKUP($E132,'DX-Data'!$D$24:$J$30,7,TRUE),IF($C132="DUCTED-INV",VLOOKUP($E132,'DX-Data'!$D$12:$J$18,7,TRUE),"CHOOSE AC TYPE")))))</f>
        <v/>
      </c>
      <c r="AH132" s="76" t="str">
        <f>IF($F$9=TRUE,IF($C132="DUCTED",VLOOKUP($F132,'DX-Data'!$F$5:$J$11,5,TRUE),IF($C132="DECORATIVE",VLOOKUP($F132,'DX-Data'!$F$19:$J$23,5,TRUE),IF($C132="PACKAGED",VLOOKUP($F132,'DX-Data'!$F$24:$J$30,5,TRUE),IF($C132="DUCTED-INV",VLOOKUP($F132,'DX-Data'!$F$12:$J$18,5,TRUE),"CHOOSE AC TYPE")))),"NO SELECTION")</f>
        <v>CHOOSE AC TYPE</v>
      </c>
      <c r="AI132" s="76" t="str">
        <f>IF($G$9=TRUE,IF($C132="DUCTED",VLOOKUP($G132,'DX-Data'!$H$5:$J$11,3,TRUE),IF($C132="DECORATIVE",VLOOKUP($G132,'DX-Data'!$H$19:$J$23,3,TRUE),IF($C132="PACKAGED",VLOOKUP($G132,'DX-Data'!$H$24:$J$30,3,TRUE),IF($C132="DUCTED-INV",VLOOKUP($G132,'DX-Data'!$H$12:$J$18,3,TRUE),"CHOOSE AC TYPE")))),"NO SELECTION")</f>
        <v>NO SELECTION</v>
      </c>
      <c r="AJ132" s="77" t="str">
        <f>IF($E132="","",IF($C132="DUCTED",VLOOKUP($E132,'DX-Data'!$D$5:$J$11,6,TRUE),IF($C132="DECORATIVE",VLOOKUP($E132,'DX-Data'!$D$19:$J$23,6,TRUE),IF($C132="PACKAGED",VLOOKUP($E132,'DX-Data'!$D$24:$J$30,6,TRUE),IF($C132="DUCTED-INV",VLOOKUP($E132,'DX-Data'!$D$12:$J$18,6,TRUE),0)))))</f>
        <v/>
      </c>
      <c r="AK132" s="77" t="str">
        <f>IF($F$9=TRUE,IF($C132="DUCTED",VLOOKUP($F132,'DX-Data'!$F$5:$J$11,4,TRUE),IF($C132="DECORATIVE",VLOOKUP($F132,'DX-Data'!$F$19:$J$23,4,TRUE),IF($C132="PACKAGED",VLOOKUP($F132,'DX-Data'!$F$24:$J$30,4,TRUE),IF($C132="DUCTED-INV",VLOOKUP($F132,'DX-Data'!$F$12:$J$18,4,TRUE),"CHOOSE AC TYPE")))),0)</f>
        <v>CHOOSE AC TYPE</v>
      </c>
      <c r="AL132" s="77">
        <f>IF($G$9=TRUE,IF($C132="DUCTED",VLOOKUP($G132,'DX-Data'!$H$5:$J$11,2,TRUE),IF($C132="DECORATIVE",VLOOKUP($G132,'DX-Data'!$H$19:$J$23,2,TRUE),IF($C132="PACKAGED",VLOOKUP($G132,'DX-Data'!$H$24:$J$30,2,TRUE),IF($C132="DUCTED-INV",VLOOKUP($G132,'DX-Data'!$H$12:$J$18,2,TRUE),"CHOOSE AC TYPE")))),0)</f>
        <v>0</v>
      </c>
      <c r="AM132" s="77">
        <f t="shared" si="11"/>
        <v>0</v>
      </c>
      <c r="AN132" s="76" t="str">
        <f>IF(E132="","",VLOOKUP($AM132,'DX-Data'!$I$5:$J$31,2,FALSE))</f>
        <v/>
      </c>
      <c r="AO132" s="77" t="str">
        <f t="shared" si="12"/>
        <v/>
      </c>
    </row>
    <row r="133" spans="2:41" hidden="1" x14ac:dyDescent="0.3">
      <c r="B133" s="71"/>
      <c r="C133" s="26"/>
      <c r="D133" s="27"/>
      <c r="E133" s="26"/>
      <c r="F133" s="26"/>
      <c r="G133" s="82"/>
      <c r="H133" s="74" t="str">
        <f t="shared" si="9"/>
        <v/>
      </c>
      <c r="I133" s="2" t="str">
        <f t="shared" si="10"/>
        <v/>
      </c>
      <c r="J133" s="21" t="str">
        <f>IF($H133="","",VLOOKUP($H133,Data!$C$6:$Y$29,2,FALSE))</f>
        <v/>
      </c>
      <c r="K133" s="2" t="str">
        <f>IF($H133="","",VLOOKUP($H133,Data!$C$6:$Y$29,3,FALSE))</f>
        <v/>
      </c>
      <c r="L133" s="2" t="str">
        <f>IF($H133="","",VLOOKUP($H133,Data!$C$6:$Y$29,4,FALSE))</f>
        <v/>
      </c>
      <c r="M133" s="2" t="str">
        <f>IF($H133="","",VLOOKUP($H133,Data!$C$6:$Y$29,5,FALSE))</f>
        <v/>
      </c>
      <c r="N133" s="2" t="str">
        <f>IF($H133="","",VLOOKUP($H133,Data!$C$6:$Y$29,6,FALSE))</f>
        <v/>
      </c>
      <c r="O133" s="2" t="str">
        <f>IF($H133="","",VLOOKUP($H133,Data!$C$6:$Y$29,7,FALSE))</f>
        <v/>
      </c>
      <c r="P133" s="2" t="str">
        <f>IF($H133="","",VLOOKUP($H133,Data!$C$6:$Y$29,8,FALSE))</f>
        <v/>
      </c>
      <c r="Q133" s="2" t="str">
        <f>IF($H133="","",VLOOKUP($H133,Data!$C$6:$Y$29,9,FALSE))</f>
        <v/>
      </c>
      <c r="R133" s="2" t="str">
        <f>IF($H133="","",VLOOKUP($H133,Data!$C$6:$Y$29,10,FALSE))</f>
        <v/>
      </c>
      <c r="S133" s="2" t="str">
        <f>IF($H133="","",VLOOKUP($H133,Data!$C$6:$Y$29,11,FALSE))</f>
        <v/>
      </c>
      <c r="T133" s="2" t="str">
        <f>IF($H133="","",VLOOKUP($H133,Data!$C$6:$Y$29,12,FALSE))</f>
        <v/>
      </c>
      <c r="U133" s="2" t="str">
        <f>IF($H133="","",VLOOKUP($H133,Data!$C$6:$Y$29,13,FALSE))</f>
        <v/>
      </c>
      <c r="V133" s="2" t="str">
        <f>IF($H133="","",VLOOKUP($H133,Data!$C$6:$Y$29,14,FALSE))</f>
        <v/>
      </c>
      <c r="W133" s="2" t="str">
        <f>IF($H133="","",VLOOKUP($H133,Data!$C$6:$Y$29,15,FALSE))</f>
        <v/>
      </c>
      <c r="X133" s="2" t="str">
        <f>IF($H133="","",VLOOKUP($H133,Data!$C$6:$Y$29,16,FALSE))</f>
        <v/>
      </c>
      <c r="Y133" s="2" t="str">
        <f>IF($H133="","",VLOOKUP($H133,Data!$C$6:$Y$29,17,FALSE))</f>
        <v/>
      </c>
      <c r="Z133" s="2" t="str">
        <f>IF($H133="","",VLOOKUP($H133,Data!$C$6:$Y$29,18,FALSE))</f>
        <v/>
      </c>
      <c r="AA133" s="2" t="str">
        <f>IF($H133="","",VLOOKUP($H133,Data!$C$6:$Y$29,19,FALSE))</f>
        <v/>
      </c>
      <c r="AB133" s="2" t="str">
        <f>IF($H133="","",VLOOKUP($H133,Data!$C$6:$Y$29,20,FALSE))</f>
        <v/>
      </c>
      <c r="AC133" s="2" t="str">
        <f>IF($H133="","",VLOOKUP($H133,Data!$C$6:$Y$29,21,FALSE))</f>
        <v/>
      </c>
      <c r="AD133" s="2" t="str">
        <f>IF($H133="","",VLOOKUP($H133,Data!$C$6:$Y$29,22,FALSE))</f>
        <v/>
      </c>
      <c r="AE133" s="3" t="str">
        <f>IF($H133="","",VLOOKUP($H133,Data!$C$6:$Y$29,23,FALSE))</f>
        <v/>
      </c>
      <c r="AG133" s="76" t="str">
        <f>IF($E133="","",IF($C133="DUCTED",VLOOKUP($E133,'DX-Data'!$D$5:$J$11,7,TRUE),IF($C133="DECORATIVE",VLOOKUP($E133,'DX-Data'!$D$19:$J$23,7,TRUE),IF($C133="PACKAGED",VLOOKUP($E133,'DX-Data'!$D$24:$J$30,7,TRUE),IF($C133="DUCTED-INV",VLOOKUP($E133,'DX-Data'!$D$12:$J$18,7,TRUE),"CHOOSE AC TYPE")))))</f>
        <v/>
      </c>
      <c r="AH133" s="76" t="str">
        <f>IF($F$9=TRUE,IF($C133="DUCTED",VLOOKUP($F133,'DX-Data'!$F$5:$J$11,5,TRUE),IF($C133="DECORATIVE",VLOOKUP($F133,'DX-Data'!$F$19:$J$23,5,TRUE),IF($C133="PACKAGED",VLOOKUP($F133,'DX-Data'!$F$24:$J$30,5,TRUE),IF($C133="DUCTED-INV",VLOOKUP($F133,'DX-Data'!$F$12:$J$18,5,TRUE),"CHOOSE AC TYPE")))),"NO SELECTION")</f>
        <v>CHOOSE AC TYPE</v>
      </c>
      <c r="AI133" s="76" t="str">
        <f>IF($G$9=TRUE,IF($C133="DUCTED",VLOOKUP($G133,'DX-Data'!$H$5:$J$11,3,TRUE),IF($C133="DECORATIVE",VLOOKUP($G133,'DX-Data'!$H$19:$J$23,3,TRUE),IF($C133="PACKAGED",VLOOKUP($G133,'DX-Data'!$H$24:$J$30,3,TRUE),IF($C133="DUCTED-INV",VLOOKUP($G133,'DX-Data'!$H$12:$J$18,3,TRUE),"CHOOSE AC TYPE")))),"NO SELECTION")</f>
        <v>NO SELECTION</v>
      </c>
      <c r="AJ133" s="77" t="str">
        <f>IF($E133="","",IF($C133="DUCTED",VLOOKUP($E133,'DX-Data'!$D$5:$J$11,6,TRUE),IF($C133="DECORATIVE",VLOOKUP($E133,'DX-Data'!$D$19:$J$23,6,TRUE),IF($C133="PACKAGED",VLOOKUP($E133,'DX-Data'!$D$24:$J$30,6,TRUE),IF($C133="DUCTED-INV",VLOOKUP($E133,'DX-Data'!$D$12:$J$18,6,TRUE),0)))))</f>
        <v/>
      </c>
      <c r="AK133" s="77" t="str">
        <f>IF($F$9=TRUE,IF($C133="DUCTED",VLOOKUP($F133,'DX-Data'!$F$5:$J$11,4,TRUE),IF($C133="DECORATIVE",VLOOKUP($F133,'DX-Data'!$F$19:$J$23,4,TRUE),IF($C133="PACKAGED",VLOOKUP($F133,'DX-Data'!$F$24:$J$30,4,TRUE),IF($C133="DUCTED-INV",VLOOKUP($F133,'DX-Data'!$F$12:$J$18,4,TRUE),"CHOOSE AC TYPE")))),0)</f>
        <v>CHOOSE AC TYPE</v>
      </c>
      <c r="AL133" s="77">
        <f>IF($G$9=TRUE,IF($C133="DUCTED",VLOOKUP($G133,'DX-Data'!$H$5:$J$11,2,TRUE),IF($C133="DECORATIVE",VLOOKUP($G133,'DX-Data'!$H$19:$J$23,2,TRUE),IF($C133="PACKAGED",VLOOKUP($G133,'DX-Data'!$H$24:$J$30,2,TRUE),IF($C133="DUCTED-INV",VLOOKUP($G133,'DX-Data'!$H$12:$J$18,2,TRUE),"CHOOSE AC TYPE")))),0)</f>
        <v>0</v>
      </c>
      <c r="AM133" s="77">
        <f t="shared" si="11"/>
        <v>0</v>
      </c>
      <c r="AN133" s="76" t="str">
        <f>IF(E133="","",VLOOKUP($AM133,'DX-Data'!$I$5:$J$31,2,FALSE))</f>
        <v/>
      </c>
      <c r="AO133" s="77" t="str">
        <f t="shared" si="12"/>
        <v/>
      </c>
    </row>
    <row r="134" spans="2:41" hidden="1" x14ac:dyDescent="0.3">
      <c r="B134" s="71"/>
      <c r="C134" s="26"/>
      <c r="D134" s="27"/>
      <c r="E134" s="26"/>
      <c r="F134" s="26"/>
      <c r="G134" s="82"/>
      <c r="H134" s="74" t="str">
        <f t="shared" si="9"/>
        <v/>
      </c>
      <c r="I134" s="2" t="str">
        <f t="shared" si="10"/>
        <v/>
      </c>
      <c r="J134" s="21" t="str">
        <f>IF($H134="","",VLOOKUP($H134,Data!$C$6:$Y$29,2,FALSE))</f>
        <v/>
      </c>
      <c r="K134" s="2" t="str">
        <f>IF($H134="","",VLOOKUP($H134,Data!$C$6:$Y$29,3,FALSE))</f>
        <v/>
      </c>
      <c r="L134" s="2" t="str">
        <f>IF($H134="","",VLOOKUP($H134,Data!$C$6:$Y$29,4,FALSE))</f>
        <v/>
      </c>
      <c r="M134" s="2" t="str">
        <f>IF($H134="","",VLOOKUP($H134,Data!$C$6:$Y$29,5,FALSE))</f>
        <v/>
      </c>
      <c r="N134" s="2" t="str">
        <f>IF($H134="","",VLOOKUP($H134,Data!$C$6:$Y$29,6,FALSE))</f>
        <v/>
      </c>
      <c r="O134" s="2" t="str">
        <f>IF($H134="","",VLOOKUP($H134,Data!$C$6:$Y$29,7,FALSE))</f>
        <v/>
      </c>
      <c r="P134" s="2" t="str">
        <f>IF($H134="","",VLOOKUP($H134,Data!$C$6:$Y$29,8,FALSE))</f>
        <v/>
      </c>
      <c r="Q134" s="2" t="str">
        <f>IF($H134="","",VLOOKUP($H134,Data!$C$6:$Y$29,9,FALSE))</f>
        <v/>
      </c>
      <c r="R134" s="2" t="str">
        <f>IF($H134="","",VLOOKUP($H134,Data!$C$6:$Y$29,10,FALSE))</f>
        <v/>
      </c>
      <c r="S134" s="2" t="str">
        <f>IF($H134="","",VLOOKUP($H134,Data!$C$6:$Y$29,11,FALSE))</f>
        <v/>
      </c>
      <c r="T134" s="2" t="str">
        <f>IF($H134="","",VLOOKUP($H134,Data!$C$6:$Y$29,12,FALSE))</f>
        <v/>
      </c>
      <c r="U134" s="2" t="str">
        <f>IF($H134="","",VLOOKUP($H134,Data!$C$6:$Y$29,13,FALSE))</f>
        <v/>
      </c>
      <c r="V134" s="2" t="str">
        <f>IF($H134="","",VLOOKUP($H134,Data!$C$6:$Y$29,14,FALSE))</f>
        <v/>
      </c>
      <c r="W134" s="2" t="str">
        <f>IF($H134="","",VLOOKUP($H134,Data!$C$6:$Y$29,15,FALSE))</f>
        <v/>
      </c>
      <c r="X134" s="2" t="str">
        <f>IF($H134="","",VLOOKUP($H134,Data!$C$6:$Y$29,16,FALSE))</f>
        <v/>
      </c>
      <c r="Y134" s="2" t="str">
        <f>IF($H134="","",VLOOKUP($H134,Data!$C$6:$Y$29,17,FALSE))</f>
        <v/>
      </c>
      <c r="Z134" s="2" t="str">
        <f>IF($H134="","",VLOOKUP($H134,Data!$C$6:$Y$29,18,FALSE))</f>
        <v/>
      </c>
      <c r="AA134" s="2" t="str">
        <f>IF($H134="","",VLOOKUP($H134,Data!$C$6:$Y$29,19,FALSE))</f>
        <v/>
      </c>
      <c r="AB134" s="2" t="str">
        <f>IF($H134="","",VLOOKUP($H134,Data!$C$6:$Y$29,20,FALSE))</f>
        <v/>
      </c>
      <c r="AC134" s="2" t="str">
        <f>IF($H134="","",VLOOKUP($H134,Data!$C$6:$Y$29,21,FALSE))</f>
        <v/>
      </c>
      <c r="AD134" s="2" t="str">
        <f>IF($H134="","",VLOOKUP($H134,Data!$C$6:$Y$29,22,FALSE))</f>
        <v/>
      </c>
      <c r="AE134" s="3" t="str">
        <f>IF($H134="","",VLOOKUP($H134,Data!$C$6:$Y$29,23,FALSE))</f>
        <v/>
      </c>
      <c r="AG134" s="76" t="str">
        <f>IF($E134="","",IF($C134="DUCTED",VLOOKUP($E134,'DX-Data'!$D$5:$J$11,7,TRUE),IF($C134="DECORATIVE",VLOOKUP($E134,'DX-Data'!$D$19:$J$23,7,TRUE),IF($C134="PACKAGED",VLOOKUP($E134,'DX-Data'!$D$24:$J$30,7,TRUE),IF($C134="DUCTED-INV",VLOOKUP($E134,'DX-Data'!$D$12:$J$18,7,TRUE),"CHOOSE AC TYPE")))))</f>
        <v/>
      </c>
      <c r="AH134" s="76" t="str">
        <f>IF($F$9=TRUE,IF($C134="DUCTED",VLOOKUP($F134,'DX-Data'!$F$5:$J$11,5,TRUE),IF($C134="DECORATIVE",VLOOKUP($F134,'DX-Data'!$F$19:$J$23,5,TRUE),IF($C134="PACKAGED",VLOOKUP($F134,'DX-Data'!$F$24:$J$30,5,TRUE),IF($C134="DUCTED-INV",VLOOKUP($F134,'DX-Data'!$F$12:$J$18,5,TRUE),"CHOOSE AC TYPE")))),"NO SELECTION")</f>
        <v>CHOOSE AC TYPE</v>
      </c>
      <c r="AI134" s="76" t="str">
        <f>IF($G$9=TRUE,IF($C134="DUCTED",VLOOKUP($G134,'DX-Data'!$H$5:$J$11,3,TRUE),IF($C134="DECORATIVE",VLOOKUP($G134,'DX-Data'!$H$19:$J$23,3,TRUE),IF($C134="PACKAGED",VLOOKUP($G134,'DX-Data'!$H$24:$J$30,3,TRUE),IF($C134="DUCTED-INV",VLOOKUP($G134,'DX-Data'!$H$12:$J$18,3,TRUE),"CHOOSE AC TYPE")))),"NO SELECTION")</f>
        <v>NO SELECTION</v>
      </c>
      <c r="AJ134" s="77" t="str">
        <f>IF($E134="","",IF($C134="DUCTED",VLOOKUP($E134,'DX-Data'!$D$5:$J$11,6,TRUE),IF($C134="DECORATIVE",VLOOKUP($E134,'DX-Data'!$D$19:$J$23,6,TRUE),IF($C134="PACKAGED",VLOOKUP($E134,'DX-Data'!$D$24:$J$30,6,TRUE),IF($C134="DUCTED-INV",VLOOKUP($E134,'DX-Data'!$D$12:$J$18,6,TRUE),0)))))</f>
        <v/>
      </c>
      <c r="AK134" s="77" t="str">
        <f>IF($F$9=TRUE,IF($C134="DUCTED",VLOOKUP($F134,'DX-Data'!$F$5:$J$11,4,TRUE),IF($C134="DECORATIVE",VLOOKUP($F134,'DX-Data'!$F$19:$J$23,4,TRUE),IF($C134="PACKAGED",VLOOKUP($F134,'DX-Data'!$F$24:$J$30,4,TRUE),IF($C134="DUCTED-INV",VLOOKUP($F134,'DX-Data'!$F$12:$J$18,4,TRUE),"CHOOSE AC TYPE")))),0)</f>
        <v>CHOOSE AC TYPE</v>
      </c>
      <c r="AL134" s="77">
        <f>IF($G$9=TRUE,IF($C134="DUCTED",VLOOKUP($G134,'DX-Data'!$H$5:$J$11,2,TRUE),IF($C134="DECORATIVE",VLOOKUP($G134,'DX-Data'!$H$19:$J$23,2,TRUE),IF($C134="PACKAGED",VLOOKUP($G134,'DX-Data'!$H$24:$J$30,2,TRUE),IF($C134="DUCTED-INV",VLOOKUP($G134,'DX-Data'!$H$12:$J$18,2,TRUE),"CHOOSE AC TYPE")))),0)</f>
        <v>0</v>
      </c>
      <c r="AM134" s="77">
        <f t="shared" si="11"/>
        <v>0</v>
      </c>
      <c r="AN134" s="76" t="str">
        <f>IF(E134="","",VLOOKUP($AM134,'DX-Data'!$I$5:$J$31,2,FALSE))</f>
        <v/>
      </c>
      <c r="AO134" s="77" t="str">
        <f t="shared" si="12"/>
        <v/>
      </c>
    </row>
    <row r="135" spans="2:41" hidden="1" x14ac:dyDescent="0.3">
      <c r="B135" s="71"/>
      <c r="C135" s="26"/>
      <c r="D135" s="27"/>
      <c r="E135" s="26"/>
      <c r="F135" s="26"/>
      <c r="G135" s="82"/>
      <c r="H135" s="74" t="str">
        <f t="shared" si="9"/>
        <v/>
      </c>
      <c r="I135" s="2" t="str">
        <f t="shared" si="10"/>
        <v/>
      </c>
      <c r="J135" s="21" t="str">
        <f>IF($H135="","",VLOOKUP($H135,Data!$C$6:$Y$29,2,FALSE))</f>
        <v/>
      </c>
      <c r="K135" s="2" t="str">
        <f>IF($H135="","",VLOOKUP($H135,Data!$C$6:$Y$29,3,FALSE))</f>
        <v/>
      </c>
      <c r="L135" s="2" t="str">
        <f>IF($H135="","",VLOOKUP($H135,Data!$C$6:$Y$29,4,FALSE))</f>
        <v/>
      </c>
      <c r="M135" s="2" t="str">
        <f>IF($H135="","",VLOOKUP($H135,Data!$C$6:$Y$29,5,FALSE))</f>
        <v/>
      </c>
      <c r="N135" s="2" t="str">
        <f>IF($H135="","",VLOOKUP($H135,Data!$C$6:$Y$29,6,FALSE))</f>
        <v/>
      </c>
      <c r="O135" s="2" t="str">
        <f>IF($H135="","",VLOOKUP($H135,Data!$C$6:$Y$29,7,FALSE))</f>
        <v/>
      </c>
      <c r="P135" s="2" t="str">
        <f>IF($H135="","",VLOOKUP($H135,Data!$C$6:$Y$29,8,FALSE))</f>
        <v/>
      </c>
      <c r="Q135" s="2" t="str">
        <f>IF($H135="","",VLOOKUP($H135,Data!$C$6:$Y$29,9,FALSE))</f>
        <v/>
      </c>
      <c r="R135" s="2" t="str">
        <f>IF($H135="","",VLOOKUP($H135,Data!$C$6:$Y$29,10,FALSE))</f>
        <v/>
      </c>
      <c r="S135" s="2" t="str">
        <f>IF($H135="","",VLOOKUP($H135,Data!$C$6:$Y$29,11,FALSE))</f>
        <v/>
      </c>
      <c r="T135" s="2" t="str">
        <f>IF($H135="","",VLOOKUP($H135,Data!$C$6:$Y$29,12,FALSE))</f>
        <v/>
      </c>
      <c r="U135" s="2" t="str">
        <f>IF($H135="","",VLOOKUP($H135,Data!$C$6:$Y$29,13,FALSE))</f>
        <v/>
      </c>
      <c r="V135" s="2" t="str">
        <f>IF($H135="","",VLOOKUP($H135,Data!$C$6:$Y$29,14,FALSE))</f>
        <v/>
      </c>
      <c r="W135" s="2" t="str">
        <f>IF($H135="","",VLOOKUP($H135,Data!$C$6:$Y$29,15,FALSE))</f>
        <v/>
      </c>
      <c r="X135" s="2" t="str">
        <f>IF($H135="","",VLOOKUP($H135,Data!$C$6:$Y$29,16,FALSE))</f>
        <v/>
      </c>
      <c r="Y135" s="2" t="str">
        <f>IF($H135="","",VLOOKUP($H135,Data!$C$6:$Y$29,17,FALSE))</f>
        <v/>
      </c>
      <c r="Z135" s="2" t="str">
        <f>IF($H135="","",VLOOKUP($H135,Data!$C$6:$Y$29,18,FALSE))</f>
        <v/>
      </c>
      <c r="AA135" s="2" t="str">
        <f>IF($H135="","",VLOOKUP($H135,Data!$C$6:$Y$29,19,FALSE))</f>
        <v/>
      </c>
      <c r="AB135" s="2" t="str">
        <f>IF($H135="","",VLOOKUP($H135,Data!$C$6:$Y$29,20,FALSE))</f>
        <v/>
      </c>
      <c r="AC135" s="2" t="str">
        <f>IF($H135="","",VLOOKUP($H135,Data!$C$6:$Y$29,21,FALSE))</f>
        <v/>
      </c>
      <c r="AD135" s="2" t="str">
        <f>IF($H135="","",VLOOKUP($H135,Data!$C$6:$Y$29,22,FALSE))</f>
        <v/>
      </c>
      <c r="AE135" s="3" t="str">
        <f>IF($H135="","",VLOOKUP($H135,Data!$C$6:$Y$29,23,FALSE))</f>
        <v/>
      </c>
      <c r="AG135" s="76" t="str">
        <f>IF($E135="","",IF($C135="DUCTED",VLOOKUP($E135,'DX-Data'!$D$5:$J$11,7,TRUE),IF($C135="DECORATIVE",VLOOKUP($E135,'DX-Data'!$D$19:$J$23,7,TRUE),IF($C135="PACKAGED",VLOOKUP($E135,'DX-Data'!$D$24:$J$30,7,TRUE),IF($C135="DUCTED-INV",VLOOKUP($E135,'DX-Data'!$D$12:$J$18,7,TRUE),"CHOOSE AC TYPE")))))</f>
        <v/>
      </c>
      <c r="AH135" s="76" t="str">
        <f>IF($F$9=TRUE,IF($C135="DUCTED",VLOOKUP($F135,'DX-Data'!$F$5:$J$11,5,TRUE),IF($C135="DECORATIVE",VLOOKUP($F135,'DX-Data'!$F$19:$J$23,5,TRUE),IF($C135="PACKAGED",VLOOKUP($F135,'DX-Data'!$F$24:$J$30,5,TRUE),IF($C135="DUCTED-INV",VLOOKUP($F135,'DX-Data'!$F$12:$J$18,5,TRUE),"CHOOSE AC TYPE")))),"NO SELECTION")</f>
        <v>CHOOSE AC TYPE</v>
      </c>
      <c r="AI135" s="76" t="str">
        <f>IF($G$9=TRUE,IF($C135="DUCTED",VLOOKUP($G135,'DX-Data'!$H$5:$J$11,3,TRUE),IF($C135="DECORATIVE",VLOOKUP($G135,'DX-Data'!$H$19:$J$23,3,TRUE),IF($C135="PACKAGED",VLOOKUP($G135,'DX-Data'!$H$24:$J$30,3,TRUE),IF($C135="DUCTED-INV",VLOOKUP($G135,'DX-Data'!$H$12:$J$18,3,TRUE),"CHOOSE AC TYPE")))),"NO SELECTION")</f>
        <v>NO SELECTION</v>
      </c>
      <c r="AJ135" s="77" t="str">
        <f>IF($E135="","",IF($C135="DUCTED",VLOOKUP($E135,'DX-Data'!$D$5:$J$11,6,TRUE),IF($C135="DECORATIVE",VLOOKUP($E135,'DX-Data'!$D$19:$J$23,6,TRUE),IF($C135="PACKAGED",VLOOKUP($E135,'DX-Data'!$D$24:$J$30,6,TRUE),IF($C135="DUCTED-INV",VLOOKUP($E135,'DX-Data'!$D$12:$J$18,6,TRUE),0)))))</f>
        <v/>
      </c>
      <c r="AK135" s="77" t="str">
        <f>IF($F$9=TRUE,IF($C135="DUCTED",VLOOKUP($F135,'DX-Data'!$F$5:$J$11,4,TRUE),IF($C135="DECORATIVE",VLOOKUP($F135,'DX-Data'!$F$19:$J$23,4,TRUE),IF($C135="PACKAGED",VLOOKUP($F135,'DX-Data'!$F$24:$J$30,4,TRUE),IF($C135="DUCTED-INV",VLOOKUP($F135,'DX-Data'!$F$12:$J$18,4,TRUE),"CHOOSE AC TYPE")))),0)</f>
        <v>CHOOSE AC TYPE</v>
      </c>
      <c r="AL135" s="77">
        <f>IF($G$9=TRUE,IF($C135="DUCTED",VLOOKUP($G135,'DX-Data'!$H$5:$J$11,2,TRUE),IF($C135="DECORATIVE",VLOOKUP($G135,'DX-Data'!$H$19:$J$23,2,TRUE),IF($C135="PACKAGED",VLOOKUP($G135,'DX-Data'!$H$24:$J$30,2,TRUE),IF($C135="DUCTED-INV",VLOOKUP($G135,'DX-Data'!$H$12:$J$18,2,TRUE),"CHOOSE AC TYPE")))),0)</f>
        <v>0</v>
      </c>
      <c r="AM135" s="77">
        <f t="shared" si="11"/>
        <v>0</v>
      </c>
      <c r="AN135" s="76" t="str">
        <f>IF(E135="","",VLOOKUP($AM135,'DX-Data'!$I$5:$J$31,2,FALSE))</f>
        <v/>
      </c>
      <c r="AO135" s="77" t="str">
        <f t="shared" si="12"/>
        <v/>
      </c>
    </row>
    <row r="136" spans="2:41" hidden="1" x14ac:dyDescent="0.3">
      <c r="B136" s="71"/>
      <c r="C136" s="26"/>
      <c r="D136" s="27"/>
      <c r="E136" s="26"/>
      <c r="F136" s="26"/>
      <c r="G136" s="82"/>
      <c r="H136" s="74" t="str">
        <f t="shared" si="9"/>
        <v/>
      </c>
      <c r="I136" s="2" t="str">
        <f t="shared" si="10"/>
        <v/>
      </c>
      <c r="J136" s="21" t="str">
        <f>IF($H136="","",VLOOKUP($H136,Data!$C$6:$Y$29,2,FALSE))</f>
        <v/>
      </c>
      <c r="K136" s="2" t="str">
        <f>IF($H136="","",VLOOKUP($H136,Data!$C$6:$Y$29,3,FALSE))</f>
        <v/>
      </c>
      <c r="L136" s="2" t="str">
        <f>IF($H136="","",VLOOKUP($H136,Data!$C$6:$Y$29,4,FALSE))</f>
        <v/>
      </c>
      <c r="M136" s="2" t="str">
        <f>IF($H136="","",VLOOKUP($H136,Data!$C$6:$Y$29,5,FALSE))</f>
        <v/>
      </c>
      <c r="N136" s="2" t="str">
        <f>IF($H136="","",VLOOKUP($H136,Data!$C$6:$Y$29,6,FALSE))</f>
        <v/>
      </c>
      <c r="O136" s="2" t="str">
        <f>IF($H136="","",VLOOKUP($H136,Data!$C$6:$Y$29,7,FALSE))</f>
        <v/>
      </c>
      <c r="P136" s="2" t="str">
        <f>IF($H136="","",VLOOKUP($H136,Data!$C$6:$Y$29,8,FALSE))</f>
        <v/>
      </c>
      <c r="Q136" s="2" t="str">
        <f>IF($H136="","",VLOOKUP($H136,Data!$C$6:$Y$29,9,FALSE))</f>
        <v/>
      </c>
      <c r="R136" s="2" t="str">
        <f>IF($H136="","",VLOOKUP($H136,Data!$C$6:$Y$29,10,FALSE))</f>
        <v/>
      </c>
      <c r="S136" s="2" t="str">
        <f>IF($H136="","",VLOOKUP($H136,Data!$C$6:$Y$29,11,FALSE))</f>
        <v/>
      </c>
      <c r="T136" s="2" t="str">
        <f>IF($H136="","",VLOOKUP($H136,Data!$C$6:$Y$29,12,FALSE))</f>
        <v/>
      </c>
      <c r="U136" s="2" t="str">
        <f>IF($H136="","",VLOOKUP($H136,Data!$C$6:$Y$29,13,FALSE))</f>
        <v/>
      </c>
      <c r="V136" s="2" t="str">
        <f>IF($H136="","",VLOOKUP($H136,Data!$C$6:$Y$29,14,FALSE))</f>
        <v/>
      </c>
      <c r="W136" s="2" t="str">
        <f>IF($H136="","",VLOOKUP($H136,Data!$C$6:$Y$29,15,FALSE))</f>
        <v/>
      </c>
      <c r="X136" s="2" t="str">
        <f>IF($H136="","",VLOOKUP($H136,Data!$C$6:$Y$29,16,FALSE))</f>
        <v/>
      </c>
      <c r="Y136" s="2" t="str">
        <f>IF($H136="","",VLOOKUP($H136,Data!$C$6:$Y$29,17,FALSE))</f>
        <v/>
      </c>
      <c r="Z136" s="2" t="str">
        <f>IF($H136="","",VLOOKUP($H136,Data!$C$6:$Y$29,18,FALSE))</f>
        <v/>
      </c>
      <c r="AA136" s="2" t="str">
        <f>IF($H136="","",VLOOKUP($H136,Data!$C$6:$Y$29,19,FALSE))</f>
        <v/>
      </c>
      <c r="AB136" s="2" t="str">
        <f>IF($H136="","",VLOOKUP($H136,Data!$C$6:$Y$29,20,FALSE))</f>
        <v/>
      </c>
      <c r="AC136" s="2" t="str">
        <f>IF($H136="","",VLOOKUP($H136,Data!$C$6:$Y$29,21,FALSE))</f>
        <v/>
      </c>
      <c r="AD136" s="2" t="str">
        <f>IF($H136="","",VLOOKUP($H136,Data!$C$6:$Y$29,22,FALSE))</f>
        <v/>
      </c>
      <c r="AE136" s="3" t="str">
        <f>IF($H136="","",VLOOKUP($H136,Data!$C$6:$Y$29,23,FALSE))</f>
        <v/>
      </c>
      <c r="AG136" s="76" t="str">
        <f>IF($E136="","",IF($C136="DUCTED",VLOOKUP($E136,'DX-Data'!$D$5:$J$11,7,TRUE),IF($C136="DECORATIVE",VLOOKUP($E136,'DX-Data'!$D$19:$J$23,7,TRUE),IF($C136="PACKAGED",VLOOKUP($E136,'DX-Data'!$D$24:$J$30,7,TRUE),IF($C136="DUCTED-INV",VLOOKUP($E136,'DX-Data'!$D$12:$J$18,7,TRUE),"CHOOSE AC TYPE")))))</f>
        <v/>
      </c>
      <c r="AH136" s="76" t="str">
        <f>IF($F$9=TRUE,IF($C136="DUCTED",VLOOKUP($F136,'DX-Data'!$F$5:$J$11,5,TRUE),IF($C136="DECORATIVE",VLOOKUP($F136,'DX-Data'!$F$19:$J$23,5,TRUE),IF($C136="PACKAGED",VLOOKUP($F136,'DX-Data'!$F$24:$J$30,5,TRUE),IF($C136="DUCTED-INV",VLOOKUP($F136,'DX-Data'!$F$12:$J$18,5,TRUE),"CHOOSE AC TYPE")))),"NO SELECTION")</f>
        <v>CHOOSE AC TYPE</v>
      </c>
      <c r="AI136" s="76" t="str">
        <f>IF($G$9=TRUE,IF($C136="DUCTED",VLOOKUP($G136,'DX-Data'!$H$5:$J$11,3,TRUE),IF($C136="DECORATIVE",VLOOKUP($G136,'DX-Data'!$H$19:$J$23,3,TRUE),IF($C136="PACKAGED",VLOOKUP($G136,'DX-Data'!$H$24:$J$30,3,TRUE),IF($C136="DUCTED-INV",VLOOKUP($G136,'DX-Data'!$H$12:$J$18,3,TRUE),"CHOOSE AC TYPE")))),"NO SELECTION")</f>
        <v>NO SELECTION</v>
      </c>
      <c r="AJ136" s="77" t="str">
        <f>IF($E136="","",IF($C136="DUCTED",VLOOKUP($E136,'DX-Data'!$D$5:$J$11,6,TRUE),IF($C136="DECORATIVE",VLOOKUP($E136,'DX-Data'!$D$19:$J$23,6,TRUE),IF($C136="PACKAGED",VLOOKUP($E136,'DX-Data'!$D$24:$J$30,6,TRUE),IF($C136="DUCTED-INV",VLOOKUP($E136,'DX-Data'!$D$12:$J$18,6,TRUE),0)))))</f>
        <v/>
      </c>
      <c r="AK136" s="77" t="str">
        <f>IF($F$9=TRUE,IF($C136="DUCTED",VLOOKUP($F136,'DX-Data'!$F$5:$J$11,4,TRUE),IF($C136="DECORATIVE",VLOOKUP($F136,'DX-Data'!$F$19:$J$23,4,TRUE),IF($C136="PACKAGED",VLOOKUP($F136,'DX-Data'!$F$24:$J$30,4,TRUE),IF($C136="DUCTED-INV",VLOOKUP($F136,'DX-Data'!$F$12:$J$18,4,TRUE),"CHOOSE AC TYPE")))),0)</f>
        <v>CHOOSE AC TYPE</v>
      </c>
      <c r="AL136" s="77">
        <f>IF($G$9=TRUE,IF($C136="DUCTED",VLOOKUP($G136,'DX-Data'!$H$5:$J$11,2,TRUE),IF($C136="DECORATIVE",VLOOKUP($G136,'DX-Data'!$H$19:$J$23,2,TRUE),IF($C136="PACKAGED",VLOOKUP($G136,'DX-Data'!$H$24:$J$30,2,TRUE),IF($C136="DUCTED-INV",VLOOKUP($G136,'DX-Data'!$H$12:$J$18,2,TRUE),"CHOOSE AC TYPE")))),0)</f>
        <v>0</v>
      </c>
      <c r="AM136" s="77">
        <f t="shared" si="11"/>
        <v>0</v>
      </c>
      <c r="AN136" s="76" t="str">
        <f>IF(E136="","",VLOOKUP($AM136,'DX-Data'!$I$5:$J$31,2,FALSE))</f>
        <v/>
      </c>
      <c r="AO136" s="77" t="str">
        <f t="shared" si="12"/>
        <v/>
      </c>
    </row>
    <row r="137" spans="2:41" hidden="1" x14ac:dyDescent="0.3">
      <c r="B137" s="71"/>
      <c r="C137" s="26"/>
      <c r="D137" s="27"/>
      <c r="E137" s="26"/>
      <c r="F137" s="26"/>
      <c r="G137" s="82"/>
      <c r="H137" s="74" t="str">
        <f t="shared" si="9"/>
        <v/>
      </c>
      <c r="I137" s="2" t="str">
        <f t="shared" si="10"/>
        <v/>
      </c>
      <c r="J137" s="21" t="str">
        <f>IF($H137="","",VLOOKUP($H137,Data!$C$6:$Y$29,2,FALSE))</f>
        <v/>
      </c>
      <c r="K137" s="2" t="str">
        <f>IF($H137="","",VLOOKUP($H137,Data!$C$6:$Y$29,3,FALSE))</f>
        <v/>
      </c>
      <c r="L137" s="2" t="str">
        <f>IF($H137="","",VLOOKUP($H137,Data!$C$6:$Y$29,4,FALSE))</f>
        <v/>
      </c>
      <c r="M137" s="2" t="str">
        <f>IF($H137="","",VLOOKUP($H137,Data!$C$6:$Y$29,5,FALSE))</f>
        <v/>
      </c>
      <c r="N137" s="2" t="str">
        <f>IF($H137="","",VLOOKUP($H137,Data!$C$6:$Y$29,6,FALSE))</f>
        <v/>
      </c>
      <c r="O137" s="2" t="str">
        <f>IF($H137="","",VLOOKUP($H137,Data!$C$6:$Y$29,7,FALSE))</f>
        <v/>
      </c>
      <c r="P137" s="2" t="str">
        <f>IF($H137="","",VLOOKUP($H137,Data!$C$6:$Y$29,8,FALSE))</f>
        <v/>
      </c>
      <c r="Q137" s="2" t="str">
        <f>IF($H137="","",VLOOKUP($H137,Data!$C$6:$Y$29,9,FALSE))</f>
        <v/>
      </c>
      <c r="R137" s="2" t="str">
        <f>IF($H137="","",VLOOKUP($H137,Data!$C$6:$Y$29,10,FALSE))</f>
        <v/>
      </c>
      <c r="S137" s="2" t="str">
        <f>IF($H137="","",VLOOKUP($H137,Data!$C$6:$Y$29,11,FALSE))</f>
        <v/>
      </c>
      <c r="T137" s="2" t="str">
        <f>IF($H137="","",VLOOKUP($H137,Data!$C$6:$Y$29,12,FALSE))</f>
        <v/>
      </c>
      <c r="U137" s="2" t="str">
        <f>IF($H137="","",VLOOKUP($H137,Data!$C$6:$Y$29,13,FALSE))</f>
        <v/>
      </c>
      <c r="V137" s="2" t="str">
        <f>IF($H137="","",VLOOKUP($H137,Data!$C$6:$Y$29,14,FALSE))</f>
        <v/>
      </c>
      <c r="W137" s="2" t="str">
        <f>IF($H137="","",VLOOKUP($H137,Data!$C$6:$Y$29,15,FALSE))</f>
        <v/>
      </c>
      <c r="X137" s="2" t="str">
        <f>IF($H137="","",VLOOKUP($H137,Data!$C$6:$Y$29,16,FALSE))</f>
        <v/>
      </c>
      <c r="Y137" s="2" t="str">
        <f>IF($H137="","",VLOOKUP($H137,Data!$C$6:$Y$29,17,FALSE))</f>
        <v/>
      </c>
      <c r="Z137" s="2" t="str">
        <f>IF($H137="","",VLOOKUP($H137,Data!$C$6:$Y$29,18,FALSE))</f>
        <v/>
      </c>
      <c r="AA137" s="2" t="str">
        <f>IF($H137="","",VLOOKUP($H137,Data!$C$6:$Y$29,19,FALSE))</f>
        <v/>
      </c>
      <c r="AB137" s="2" t="str">
        <f>IF($H137="","",VLOOKUP($H137,Data!$C$6:$Y$29,20,FALSE))</f>
        <v/>
      </c>
      <c r="AC137" s="2" t="str">
        <f>IF($H137="","",VLOOKUP($H137,Data!$C$6:$Y$29,21,FALSE))</f>
        <v/>
      </c>
      <c r="AD137" s="2" t="str">
        <f>IF($H137="","",VLOOKUP($H137,Data!$C$6:$Y$29,22,FALSE))</f>
        <v/>
      </c>
      <c r="AE137" s="3" t="str">
        <f>IF($H137="","",VLOOKUP($H137,Data!$C$6:$Y$29,23,FALSE))</f>
        <v/>
      </c>
      <c r="AG137" s="76" t="str">
        <f>IF($E137="","",IF($C137="DUCTED",VLOOKUP($E137,'DX-Data'!$D$5:$J$11,7,TRUE),IF($C137="DECORATIVE",VLOOKUP($E137,'DX-Data'!$D$19:$J$23,7,TRUE),IF($C137="PACKAGED",VLOOKUP($E137,'DX-Data'!$D$24:$J$30,7,TRUE),IF($C137="DUCTED-INV",VLOOKUP($E137,'DX-Data'!$D$12:$J$18,7,TRUE),"CHOOSE AC TYPE")))))</f>
        <v/>
      </c>
      <c r="AH137" s="76" t="str">
        <f>IF($F$9=TRUE,IF($C137="DUCTED",VLOOKUP($F137,'DX-Data'!$F$5:$J$11,5,TRUE),IF($C137="DECORATIVE",VLOOKUP($F137,'DX-Data'!$F$19:$J$23,5,TRUE),IF($C137="PACKAGED",VLOOKUP($F137,'DX-Data'!$F$24:$J$30,5,TRUE),IF($C137="DUCTED-INV",VLOOKUP($F137,'DX-Data'!$F$12:$J$18,5,TRUE),"CHOOSE AC TYPE")))),"NO SELECTION")</f>
        <v>CHOOSE AC TYPE</v>
      </c>
      <c r="AI137" s="76" t="str">
        <f>IF($G$9=TRUE,IF($C137="DUCTED",VLOOKUP($G137,'DX-Data'!$H$5:$J$11,3,TRUE),IF($C137="DECORATIVE",VLOOKUP($G137,'DX-Data'!$H$19:$J$23,3,TRUE),IF($C137="PACKAGED",VLOOKUP($G137,'DX-Data'!$H$24:$J$30,3,TRUE),IF($C137="DUCTED-INV",VLOOKUP($G137,'DX-Data'!$H$12:$J$18,3,TRUE),"CHOOSE AC TYPE")))),"NO SELECTION")</f>
        <v>NO SELECTION</v>
      </c>
      <c r="AJ137" s="77" t="str">
        <f>IF($E137="","",IF($C137="DUCTED",VLOOKUP($E137,'DX-Data'!$D$5:$J$11,6,TRUE),IF($C137="DECORATIVE",VLOOKUP($E137,'DX-Data'!$D$19:$J$23,6,TRUE),IF($C137="PACKAGED",VLOOKUP($E137,'DX-Data'!$D$24:$J$30,6,TRUE),IF($C137="DUCTED-INV",VLOOKUP($E137,'DX-Data'!$D$12:$J$18,6,TRUE),0)))))</f>
        <v/>
      </c>
      <c r="AK137" s="77" t="str">
        <f>IF($F$9=TRUE,IF($C137="DUCTED",VLOOKUP($F137,'DX-Data'!$F$5:$J$11,4,TRUE),IF($C137="DECORATIVE",VLOOKUP($F137,'DX-Data'!$F$19:$J$23,4,TRUE),IF($C137="PACKAGED",VLOOKUP($F137,'DX-Data'!$F$24:$J$30,4,TRUE),IF($C137="DUCTED-INV",VLOOKUP($F137,'DX-Data'!$F$12:$J$18,4,TRUE),"CHOOSE AC TYPE")))),0)</f>
        <v>CHOOSE AC TYPE</v>
      </c>
      <c r="AL137" s="77">
        <f>IF($G$9=TRUE,IF($C137="DUCTED",VLOOKUP($G137,'DX-Data'!$H$5:$J$11,2,TRUE),IF($C137="DECORATIVE",VLOOKUP($G137,'DX-Data'!$H$19:$J$23,2,TRUE),IF($C137="PACKAGED",VLOOKUP($G137,'DX-Data'!$H$24:$J$30,2,TRUE),IF($C137="DUCTED-INV",VLOOKUP($G137,'DX-Data'!$H$12:$J$18,2,TRUE),"CHOOSE AC TYPE")))),0)</f>
        <v>0</v>
      </c>
      <c r="AM137" s="77">
        <f t="shared" si="11"/>
        <v>0</v>
      </c>
      <c r="AN137" s="76" t="str">
        <f>IF(E137="","",VLOOKUP($AM137,'DX-Data'!$I$5:$J$31,2,FALSE))</f>
        <v/>
      </c>
      <c r="AO137" s="77" t="str">
        <f t="shared" si="12"/>
        <v/>
      </c>
    </row>
    <row r="138" spans="2:41" hidden="1" x14ac:dyDescent="0.3">
      <c r="B138" s="71"/>
      <c r="C138" s="26"/>
      <c r="D138" s="27"/>
      <c r="E138" s="26"/>
      <c r="F138" s="26"/>
      <c r="G138" s="82"/>
      <c r="H138" s="74" t="str">
        <f t="shared" si="9"/>
        <v/>
      </c>
      <c r="I138" s="2" t="str">
        <f t="shared" si="10"/>
        <v/>
      </c>
      <c r="J138" s="21" t="str">
        <f>IF($H138="","",VLOOKUP($H138,Data!$C$6:$Y$29,2,FALSE))</f>
        <v/>
      </c>
      <c r="K138" s="2" t="str">
        <f>IF($H138="","",VLOOKUP($H138,Data!$C$6:$Y$29,3,FALSE))</f>
        <v/>
      </c>
      <c r="L138" s="2" t="str">
        <f>IF($H138="","",VLOOKUP($H138,Data!$C$6:$Y$29,4,FALSE))</f>
        <v/>
      </c>
      <c r="M138" s="2" t="str">
        <f>IF($H138="","",VLOOKUP($H138,Data!$C$6:$Y$29,5,FALSE))</f>
        <v/>
      </c>
      <c r="N138" s="2" t="str">
        <f>IF($H138="","",VLOOKUP($H138,Data!$C$6:$Y$29,6,FALSE))</f>
        <v/>
      </c>
      <c r="O138" s="2" t="str">
        <f>IF($H138="","",VLOOKUP($H138,Data!$C$6:$Y$29,7,FALSE))</f>
        <v/>
      </c>
      <c r="P138" s="2" t="str">
        <f>IF($H138="","",VLOOKUP($H138,Data!$C$6:$Y$29,8,FALSE))</f>
        <v/>
      </c>
      <c r="Q138" s="2" t="str">
        <f>IF($H138="","",VLOOKUP($H138,Data!$C$6:$Y$29,9,FALSE))</f>
        <v/>
      </c>
      <c r="R138" s="2" t="str">
        <f>IF($H138="","",VLOOKUP($H138,Data!$C$6:$Y$29,10,FALSE))</f>
        <v/>
      </c>
      <c r="S138" s="2" t="str">
        <f>IF($H138="","",VLOOKUP($H138,Data!$C$6:$Y$29,11,FALSE))</f>
        <v/>
      </c>
      <c r="T138" s="2" t="str">
        <f>IF($H138="","",VLOOKUP($H138,Data!$C$6:$Y$29,12,FALSE))</f>
        <v/>
      </c>
      <c r="U138" s="2" t="str">
        <f>IF($H138="","",VLOOKUP($H138,Data!$C$6:$Y$29,13,FALSE))</f>
        <v/>
      </c>
      <c r="V138" s="2" t="str">
        <f>IF($H138="","",VLOOKUP($H138,Data!$C$6:$Y$29,14,FALSE))</f>
        <v/>
      </c>
      <c r="W138" s="2" t="str">
        <f>IF($H138="","",VLOOKUP($H138,Data!$C$6:$Y$29,15,FALSE))</f>
        <v/>
      </c>
      <c r="X138" s="2" t="str">
        <f>IF($H138="","",VLOOKUP($H138,Data!$C$6:$Y$29,16,FALSE))</f>
        <v/>
      </c>
      <c r="Y138" s="2" t="str">
        <f>IF($H138="","",VLOOKUP($H138,Data!$C$6:$Y$29,17,FALSE))</f>
        <v/>
      </c>
      <c r="Z138" s="2" t="str">
        <f>IF($H138="","",VLOOKUP($H138,Data!$C$6:$Y$29,18,FALSE))</f>
        <v/>
      </c>
      <c r="AA138" s="2" t="str">
        <f>IF($H138="","",VLOOKUP($H138,Data!$C$6:$Y$29,19,FALSE))</f>
        <v/>
      </c>
      <c r="AB138" s="2" t="str">
        <f>IF($H138="","",VLOOKUP($H138,Data!$C$6:$Y$29,20,FALSE))</f>
        <v/>
      </c>
      <c r="AC138" s="2" t="str">
        <f>IF($H138="","",VLOOKUP($H138,Data!$C$6:$Y$29,21,FALSE))</f>
        <v/>
      </c>
      <c r="AD138" s="2" t="str">
        <f>IF($H138="","",VLOOKUP($H138,Data!$C$6:$Y$29,22,FALSE))</f>
        <v/>
      </c>
      <c r="AE138" s="3" t="str">
        <f>IF($H138="","",VLOOKUP($H138,Data!$C$6:$Y$29,23,FALSE))</f>
        <v/>
      </c>
      <c r="AG138" s="76" t="str">
        <f>IF($E138="","",IF($C138="DUCTED",VLOOKUP($E138,'DX-Data'!$D$5:$J$11,7,TRUE),IF($C138="DECORATIVE",VLOOKUP($E138,'DX-Data'!$D$19:$J$23,7,TRUE),IF($C138="PACKAGED",VLOOKUP($E138,'DX-Data'!$D$24:$J$30,7,TRUE),IF($C138="DUCTED-INV",VLOOKUP($E138,'DX-Data'!$D$12:$J$18,7,TRUE),"CHOOSE AC TYPE")))))</f>
        <v/>
      </c>
      <c r="AH138" s="76" t="str">
        <f>IF($F$9=TRUE,IF($C138="DUCTED",VLOOKUP($F138,'DX-Data'!$F$5:$J$11,5,TRUE),IF($C138="DECORATIVE",VLOOKUP($F138,'DX-Data'!$F$19:$J$23,5,TRUE),IF($C138="PACKAGED",VLOOKUP($F138,'DX-Data'!$F$24:$J$30,5,TRUE),IF($C138="DUCTED-INV",VLOOKUP($F138,'DX-Data'!$F$12:$J$18,5,TRUE),"CHOOSE AC TYPE")))),"NO SELECTION")</f>
        <v>CHOOSE AC TYPE</v>
      </c>
      <c r="AI138" s="76" t="str">
        <f>IF($G$9=TRUE,IF($C138="DUCTED",VLOOKUP($G138,'DX-Data'!$H$5:$J$11,3,TRUE),IF($C138="DECORATIVE",VLOOKUP($G138,'DX-Data'!$H$19:$J$23,3,TRUE),IF($C138="PACKAGED",VLOOKUP($G138,'DX-Data'!$H$24:$J$30,3,TRUE),IF($C138="DUCTED-INV",VLOOKUP($G138,'DX-Data'!$H$12:$J$18,3,TRUE),"CHOOSE AC TYPE")))),"NO SELECTION")</f>
        <v>NO SELECTION</v>
      </c>
      <c r="AJ138" s="77" t="str">
        <f>IF($E138="","",IF($C138="DUCTED",VLOOKUP($E138,'DX-Data'!$D$5:$J$11,6,TRUE),IF($C138="DECORATIVE",VLOOKUP($E138,'DX-Data'!$D$19:$J$23,6,TRUE),IF($C138="PACKAGED",VLOOKUP($E138,'DX-Data'!$D$24:$J$30,6,TRUE),IF($C138="DUCTED-INV",VLOOKUP($E138,'DX-Data'!$D$12:$J$18,6,TRUE),0)))))</f>
        <v/>
      </c>
      <c r="AK138" s="77" t="str">
        <f>IF($F$9=TRUE,IF($C138="DUCTED",VLOOKUP($F138,'DX-Data'!$F$5:$J$11,4,TRUE),IF($C138="DECORATIVE",VLOOKUP($F138,'DX-Data'!$F$19:$J$23,4,TRUE),IF($C138="PACKAGED",VLOOKUP($F138,'DX-Data'!$F$24:$J$30,4,TRUE),IF($C138="DUCTED-INV",VLOOKUP($F138,'DX-Data'!$F$12:$J$18,4,TRUE),"CHOOSE AC TYPE")))),0)</f>
        <v>CHOOSE AC TYPE</v>
      </c>
      <c r="AL138" s="77">
        <f>IF($G$9=TRUE,IF($C138="DUCTED",VLOOKUP($G138,'DX-Data'!$H$5:$J$11,2,TRUE),IF($C138="DECORATIVE",VLOOKUP($G138,'DX-Data'!$H$19:$J$23,2,TRUE),IF($C138="PACKAGED",VLOOKUP($G138,'DX-Data'!$H$24:$J$30,2,TRUE),IF($C138="DUCTED-INV",VLOOKUP($G138,'DX-Data'!$H$12:$J$18,2,TRUE),"CHOOSE AC TYPE")))),0)</f>
        <v>0</v>
      </c>
      <c r="AM138" s="77">
        <f t="shared" si="11"/>
        <v>0</v>
      </c>
      <c r="AN138" s="76" t="str">
        <f>IF(E138="","",VLOOKUP($AM138,'DX-Data'!$I$5:$J$31,2,FALSE))</f>
        <v/>
      </c>
      <c r="AO138" s="77" t="str">
        <f t="shared" si="12"/>
        <v/>
      </c>
    </row>
    <row r="139" spans="2:41" hidden="1" x14ac:dyDescent="0.3">
      <c r="B139" s="71"/>
      <c r="C139" s="26"/>
      <c r="D139" s="27"/>
      <c r="E139" s="26"/>
      <c r="F139" s="26"/>
      <c r="G139" s="82"/>
      <c r="H139" s="74" t="str">
        <f t="shared" si="9"/>
        <v/>
      </c>
      <c r="I139" s="2" t="str">
        <f t="shared" si="10"/>
        <v/>
      </c>
      <c r="J139" s="21" t="str">
        <f>IF($H139="","",VLOOKUP($H139,Data!$C$6:$Y$29,2,FALSE))</f>
        <v/>
      </c>
      <c r="K139" s="2" t="str">
        <f>IF($H139="","",VLOOKUP($H139,Data!$C$6:$Y$29,3,FALSE))</f>
        <v/>
      </c>
      <c r="L139" s="2" t="str">
        <f>IF($H139="","",VLOOKUP($H139,Data!$C$6:$Y$29,4,FALSE))</f>
        <v/>
      </c>
      <c r="M139" s="2" t="str">
        <f>IF($H139="","",VLOOKUP($H139,Data!$C$6:$Y$29,5,FALSE))</f>
        <v/>
      </c>
      <c r="N139" s="2" t="str">
        <f>IF($H139="","",VLOOKUP($H139,Data!$C$6:$Y$29,6,FALSE))</f>
        <v/>
      </c>
      <c r="O139" s="2" t="str">
        <f>IF($H139="","",VLOOKUP($H139,Data!$C$6:$Y$29,7,FALSE))</f>
        <v/>
      </c>
      <c r="P139" s="2" t="str">
        <f>IF($H139="","",VLOOKUP($H139,Data!$C$6:$Y$29,8,FALSE))</f>
        <v/>
      </c>
      <c r="Q139" s="2" t="str">
        <f>IF($H139="","",VLOOKUP($H139,Data!$C$6:$Y$29,9,FALSE))</f>
        <v/>
      </c>
      <c r="R139" s="2" t="str">
        <f>IF($H139="","",VLOOKUP($H139,Data!$C$6:$Y$29,10,FALSE))</f>
        <v/>
      </c>
      <c r="S139" s="2" t="str">
        <f>IF($H139="","",VLOOKUP($H139,Data!$C$6:$Y$29,11,FALSE))</f>
        <v/>
      </c>
      <c r="T139" s="2" t="str">
        <f>IF($H139="","",VLOOKUP($H139,Data!$C$6:$Y$29,12,FALSE))</f>
        <v/>
      </c>
      <c r="U139" s="2" t="str">
        <f>IF($H139="","",VLOOKUP($H139,Data!$C$6:$Y$29,13,FALSE))</f>
        <v/>
      </c>
      <c r="V139" s="2" t="str">
        <f>IF($H139="","",VLOOKUP($H139,Data!$C$6:$Y$29,14,FALSE))</f>
        <v/>
      </c>
      <c r="W139" s="2" t="str">
        <f>IF($H139="","",VLOOKUP($H139,Data!$C$6:$Y$29,15,FALSE))</f>
        <v/>
      </c>
      <c r="X139" s="2" t="str">
        <f>IF($H139="","",VLOOKUP($H139,Data!$C$6:$Y$29,16,FALSE))</f>
        <v/>
      </c>
      <c r="Y139" s="2" t="str">
        <f>IF($H139="","",VLOOKUP($H139,Data!$C$6:$Y$29,17,FALSE))</f>
        <v/>
      </c>
      <c r="Z139" s="2" t="str">
        <f>IF($H139="","",VLOOKUP($H139,Data!$C$6:$Y$29,18,FALSE))</f>
        <v/>
      </c>
      <c r="AA139" s="2" t="str">
        <f>IF($H139="","",VLOOKUP($H139,Data!$C$6:$Y$29,19,FALSE))</f>
        <v/>
      </c>
      <c r="AB139" s="2" t="str">
        <f>IF($H139="","",VLOOKUP($H139,Data!$C$6:$Y$29,20,FALSE))</f>
        <v/>
      </c>
      <c r="AC139" s="2" t="str">
        <f>IF($H139="","",VLOOKUP($H139,Data!$C$6:$Y$29,21,FALSE))</f>
        <v/>
      </c>
      <c r="AD139" s="2" t="str">
        <f>IF($H139="","",VLOOKUP($H139,Data!$C$6:$Y$29,22,FALSE))</f>
        <v/>
      </c>
      <c r="AE139" s="3" t="str">
        <f>IF($H139="","",VLOOKUP($H139,Data!$C$6:$Y$29,23,FALSE))</f>
        <v/>
      </c>
      <c r="AG139" s="76" t="str">
        <f>IF($E139="","",IF($C139="DUCTED",VLOOKUP($E139,'DX-Data'!$D$5:$J$11,7,TRUE),IF($C139="DECORATIVE",VLOOKUP($E139,'DX-Data'!$D$19:$J$23,7,TRUE),IF($C139="PACKAGED",VLOOKUP($E139,'DX-Data'!$D$24:$J$30,7,TRUE),IF($C139="DUCTED-INV",VLOOKUP($E139,'DX-Data'!$D$12:$J$18,7,TRUE),"CHOOSE AC TYPE")))))</f>
        <v/>
      </c>
      <c r="AH139" s="76" t="str">
        <f>IF($F$9=TRUE,IF($C139="DUCTED",VLOOKUP($F139,'DX-Data'!$F$5:$J$11,5,TRUE),IF($C139="DECORATIVE",VLOOKUP($F139,'DX-Data'!$F$19:$J$23,5,TRUE),IF($C139="PACKAGED",VLOOKUP($F139,'DX-Data'!$F$24:$J$30,5,TRUE),IF($C139="DUCTED-INV",VLOOKUP($F139,'DX-Data'!$F$12:$J$18,5,TRUE),"CHOOSE AC TYPE")))),"NO SELECTION")</f>
        <v>CHOOSE AC TYPE</v>
      </c>
      <c r="AI139" s="76" t="str">
        <f>IF($G$9=TRUE,IF($C139="DUCTED",VLOOKUP($G139,'DX-Data'!$H$5:$J$11,3,TRUE),IF($C139="DECORATIVE",VLOOKUP($G139,'DX-Data'!$H$19:$J$23,3,TRUE),IF($C139="PACKAGED",VLOOKUP($G139,'DX-Data'!$H$24:$J$30,3,TRUE),IF($C139="DUCTED-INV",VLOOKUP($G139,'DX-Data'!$H$12:$J$18,3,TRUE),"CHOOSE AC TYPE")))),"NO SELECTION")</f>
        <v>NO SELECTION</v>
      </c>
      <c r="AJ139" s="77" t="str">
        <f>IF($E139="","",IF($C139="DUCTED",VLOOKUP($E139,'DX-Data'!$D$5:$J$11,6,TRUE),IF($C139="DECORATIVE",VLOOKUP($E139,'DX-Data'!$D$19:$J$23,6,TRUE),IF($C139="PACKAGED",VLOOKUP($E139,'DX-Data'!$D$24:$J$30,6,TRUE),IF($C139="DUCTED-INV",VLOOKUP($E139,'DX-Data'!$D$12:$J$18,6,TRUE),0)))))</f>
        <v/>
      </c>
      <c r="AK139" s="77" t="str">
        <f>IF($F$9=TRUE,IF($C139="DUCTED",VLOOKUP($F139,'DX-Data'!$F$5:$J$11,4,TRUE),IF($C139="DECORATIVE",VLOOKUP($F139,'DX-Data'!$F$19:$J$23,4,TRUE),IF($C139="PACKAGED",VLOOKUP($F139,'DX-Data'!$F$24:$J$30,4,TRUE),IF($C139="DUCTED-INV",VLOOKUP($F139,'DX-Data'!$F$12:$J$18,4,TRUE),"CHOOSE AC TYPE")))),0)</f>
        <v>CHOOSE AC TYPE</v>
      </c>
      <c r="AL139" s="77">
        <f>IF($G$9=TRUE,IF($C139="DUCTED",VLOOKUP($G139,'DX-Data'!$H$5:$J$11,2,TRUE),IF($C139="DECORATIVE",VLOOKUP($G139,'DX-Data'!$H$19:$J$23,2,TRUE),IF($C139="PACKAGED",VLOOKUP($G139,'DX-Data'!$H$24:$J$30,2,TRUE),IF($C139="DUCTED-INV",VLOOKUP($G139,'DX-Data'!$H$12:$J$18,2,TRUE),"CHOOSE AC TYPE")))),0)</f>
        <v>0</v>
      </c>
      <c r="AM139" s="77">
        <f t="shared" si="11"/>
        <v>0</v>
      </c>
      <c r="AN139" s="76" t="str">
        <f>IF(E139="","",VLOOKUP($AM139,'DX-Data'!$I$5:$J$31,2,FALSE))</f>
        <v/>
      </c>
      <c r="AO139" s="77" t="str">
        <f t="shared" si="12"/>
        <v/>
      </c>
    </row>
    <row r="140" spans="2:41" hidden="1" x14ac:dyDescent="0.3">
      <c r="B140" s="71"/>
      <c r="C140" s="26"/>
      <c r="D140" s="27"/>
      <c r="E140" s="26"/>
      <c r="F140" s="26"/>
      <c r="G140" s="82"/>
      <c r="H140" s="74" t="str">
        <f t="shared" si="9"/>
        <v/>
      </c>
      <c r="I140" s="2" t="str">
        <f t="shared" si="10"/>
        <v/>
      </c>
      <c r="J140" s="21" t="str">
        <f>IF($H140="","",VLOOKUP($H140,Data!$C$6:$Y$29,2,FALSE))</f>
        <v/>
      </c>
      <c r="K140" s="2" t="str">
        <f>IF($H140="","",VLOOKUP($H140,Data!$C$6:$Y$29,3,FALSE))</f>
        <v/>
      </c>
      <c r="L140" s="2" t="str">
        <f>IF($H140="","",VLOOKUP($H140,Data!$C$6:$Y$29,4,FALSE))</f>
        <v/>
      </c>
      <c r="M140" s="2" t="str">
        <f>IF($H140="","",VLOOKUP($H140,Data!$C$6:$Y$29,5,FALSE))</f>
        <v/>
      </c>
      <c r="N140" s="2" t="str">
        <f>IF($H140="","",VLOOKUP($H140,Data!$C$6:$Y$29,6,FALSE))</f>
        <v/>
      </c>
      <c r="O140" s="2" t="str">
        <f>IF($H140="","",VLOOKUP($H140,Data!$C$6:$Y$29,7,FALSE))</f>
        <v/>
      </c>
      <c r="P140" s="2" t="str">
        <f>IF($H140="","",VLOOKUP($H140,Data!$C$6:$Y$29,8,FALSE))</f>
        <v/>
      </c>
      <c r="Q140" s="2" t="str">
        <f>IF($H140="","",VLOOKUP($H140,Data!$C$6:$Y$29,9,FALSE))</f>
        <v/>
      </c>
      <c r="R140" s="2" t="str">
        <f>IF($H140="","",VLOOKUP($H140,Data!$C$6:$Y$29,10,FALSE))</f>
        <v/>
      </c>
      <c r="S140" s="2" t="str">
        <f>IF($H140="","",VLOOKUP($H140,Data!$C$6:$Y$29,11,FALSE))</f>
        <v/>
      </c>
      <c r="T140" s="2" t="str">
        <f>IF($H140="","",VLOOKUP($H140,Data!$C$6:$Y$29,12,FALSE))</f>
        <v/>
      </c>
      <c r="U140" s="2" t="str">
        <f>IF($H140="","",VLOOKUP($H140,Data!$C$6:$Y$29,13,FALSE))</f>
        <v/>
      </c>
      <c r="V140" s="2" t="str">
        <f>IF($H140="","",VLOOKUP($H140,Data!$C$6:$Y$29,14,FALSE))</f>
        <v/>
      </c>
      <c r="W140" s="2" t="str">
        <f>IF($H140="","",VLOOKUP($H140,Data!$C$6:$Y$29,15,FALSE))</f>
        <v/>
      </c>
      <c r="X140" s="2" t="str">
        <f>IF($H140="","",VLOOKUP($H140,Data!$C$6:$Y$29,16,FALSE))</f>
        <v/>
      </c>
      <c r="Y140" s="2" t="str">
        <f>IF($H140="","",VLOOKUP($H140,Data!$C$6:$Y$29,17,FALSE))</f>
        <v/>
      </c>
      <c r="Z140" s="2" t="str">
        <f>IF($H140="","",VLOOKUP($H140,Data!$C$6:$Y$29,18,FALSE))</f>
        <v/>
      </c>
      <c r="AA140" s="2" t="str">
        <f>IF($H140="","",VLOOKUP($H140,Data!$C$6:$Y$29,19,FALSE))</f>
        <v/>
      </c>
      <c r="AB140" s="2" t="str">
        <f>IF($H140="","",VLOOKUP($H140,Data!$C$6:$Y$29,20,FALSE))</f>
        <v/>
      </c>
      <c r="AC140" s="2" t="str">
        <f>IF($H140="","",VLOOKUP($H140,Data!$C$6:$Y$29,21,FALSE))</f>
        <v/>
      </c>
      <c r="AD140" s="2" t="str">
        <f>IF($H140="","",VLOOKUP($H140,Data!$C$6:$Y$29,22,FALSE))</f>
        <v/>
      </c>
      <c r="AE140" s="3" t="str">
        <f>IF($H140="","",VLOOKUP($H140,Data!$C$6:$Y$29,23,FALSE))</f>
        <v/>
      </c>
      <c r="AG140" s="76" t="str">
        <f>IF($E140="","",IF($C140="DUCTED",VLOOKUP($E140,'DX-Data'!$D$5:$J$11,7,TRUE),IF($C140="DECORATIVE",VLOOKUP($E140,'DX-Data'!$D$19:$J$23,7,TRUE),IF($C140="PACKAGED",VLOOKUP($E140,'DX-Data'!$D$24:$J$30,7,TRUE),IF($C140="DUCTED-INV",VLOOKUP($E140,'DX-Data'!$D$12:$J$18,7,TRUE),"CHOOSE AC TYPE")))))</f>
        <v/>
      </c>
      <c r="AH140" s="76" t="str">
        <f>IF($F$9=TRUE,IF($C140="DUCTED",VLOOKUP($F140,'DX-Data'!$F$5:$J$11,5,TRUE),IF($C140="DECORATIVE",VLOOKUP($F140,'DX-Data'!$F$19:$J$23,5,TRUE),IF($C140="PACKAGED",VLOOKUP($F140,'DX-Data'!$F$24:$J$30,5,TRUE),IF($C140="DUCTED-INV",VLOOKUP($F140,'DX-Data'!$F$12:$J$18,5,TRUE),"CHOOSE AC TYPE")))),"NO SELECTION")</f>
        <v>CHOOSE AC TYPE</v>
      </c>
      <c r="AI140" s="76" t="str">
        <f>IF($G$9=TRUE,IF($C140="DUCTED",VLOOKUP($G140,'DX-Data'!$H$5:$J$11,3,TRUE),IF($C140="DECORATIVE",VLOOKUP($G140,'DX-Data'!$H$19:$J$23,3,TRUE),IF($C140="PACKAGED",VLOOKUP($G140,'DX-Data'!$H$24:$J$30,3,TRUE),IF($C140="DUCTED-INV",VLOOKUP($G140,'DX-Data'!$H$12:$J$18,3,TRUE),"CHOOSE AC TYPE")))),"NO SELECTION")</f>
        <v>NO SELECTION</v>
      </c>
      <c r="AJ140" s="77" t="str">
        <f>IF($E140="","",IF($C140="DUCTED",VLOOKUP($E140,'DX-Data'!$D$5:$J$11,6,TRUE),IF($C140="DECORATIVE",VLOOKUP($E140,'DX-Data'!$D$19:$J$23,6,TRUE),IF($C140="PACKAGED",VLOOKUP($E140,'DX-Data'!$D$24:$J$30,6,TRUE),IF($C140="DUCTED-INV",VLOOKUP($E140,'DX-Data'!$D$12:$J$18,6,TRUE),0)))))</f>
        <v/>
      </c>
      <c r="AK140" s="77" t="str">
        <f>IF($F$9=TRUE,IF($C140="DUCTED",VLOOKUP($F140,'DX-Data'!$F$5:$J$11,4,TRUE),IF($C140="DECORATIVE",VLOOKUP($F140,'DX-Data'!$F$19:$J$23,4,TRUE),IF($C140="PACKAGED",VLOOKUP($F140,'DX-Data'!$F$24:$J$30,4,TRUE),IF($C140="DUCTED-INV",VLOOKUP($F140,'DX-Data'!$F$12:$J$18,4,TRUE),"CHOOSE AC TYPE")))),0)</f>
        <v>CHOOSE AC TYPE</v>
      </c>
      <c r="AL140" s="77">
        <f>IF($G$9=TRUE,IF($C140="DUCTED",VLOOKUP($G140,'DX-Data'!$H$5:$J$11,2,TRUE),IF($C140="DECORATIVE",VLOOKUP($G140,'DX-Data'!$H$19:$J$23,2,TRUE),IF($C140="PACKAGED",VLOOKUP($G140,'DX-Data'!$H$24:$J$30,2,TRUE),IF($C140="DUCTED-INV",VLOOKUP($G140,'DX-Data'!$H$12:$J$18,2,TRUE),"CHOOSE AC TYPE")))),0)</f>
        <v>0</v>
      </c>
      <c r="AM140" s="77">
        <f t="shared" si="11"/>
        <v>0</v>
      </c>
      <c r="AN140" s="76" t="str">
        <f>IF(E140="","",VLOOKUP($AM140,'DX-Data'!$I$5:$J$31,2,FALSE))</f>
        <v/>
      </c>
      <c r="AO140" s="77" t="str">
        <f t="shared" si="12"/>
        <v/>
      </c>
    </row>
    <row r="141" spans="2:41" hidden="1" x14ac:dyDescent="0.3">
      <c r="B141" s="71"/>
      <c r="C141" s="26"/>
      <c r="D141" s="27"/>
      <c r="E141" s="26"/>
      <c r="F141" s="26"/>
      <c r="G141" s="82"/>
      <c r="H141" s="74" t="str">
        <f t="shared" si="9"/>
        <v/>
      </c>
      <c r="I141" s="2" t="str">
        <f t="shared" si="10"/>
        <v/>
      </c>
      <c r="J141" s="21" t="str">
        <f>IF($H141="","",VLOOKUP($H141,Data!$C$6:$Y$29,2,FALSE))</f>
        <v/>
      </c>
      <c r="K141" s="2" t="str">
        <f>IF($H141="","",VLOOKUP($H141,Data!$C$6:$Y$29,3,FALSE))</f>
        <v/>
      </c>
      <c r="L141" s="2" t="str">
        <f>IF($H141="","",VLOOKUP($H141,Data!$C$6:$Y$29,4,FALSE))</f>
        <v/>
      </c>
      <c r="M141" s="2" t="str">
        <f>IF($H141="","",VLOOKUP($H141,Data!$C$6:$Y$29,5,FALSE))</f>
        <v/>
      </c>
      <c r="N141" s="2" t="str">
        <f>IF($H141="","",VLOOKUP($H141,Data!$C$6:$Y$29,6,FALSE))</f>
        <v/>
      </c>
      <c r="O141" s="2" t="str">
        <f>IF($H141="","",VLOOKUP($H141,Data!$C$6:$Y$29,7,FALSE))</f>
        <v/>
      </c>
      <c r="P141" s="2" t="str">
        <f>IF($H141="","",VLOOKUP($H141,Data!$C$6:$Y$29,8,FALSE))</f>
        <v/>
      </c>
      <c r="Q141" s="2" t="str">
        <f>IF($H141="","",VLOOKUP($H141,Data!$C$6:$Y$29,9,FALSE))</f>
        <v/>
      </c>
      <c r="R141" s="2" t="str">
        <f>IF($H141="","",VLOOKUP($H141,Data!$C$6:$Y$29,10,FALSE))</f>
        <v/>
      </c>
      <c r="S141" s="2" t="str">
        <f>IF($H141="","",VLOOKUP($H141,Data!$C$6:$Y$29,11,FALSE))</f>
        <v/>
      </c>
      <c r="T141" s="2" t="str">
        <f>IF($H141="","",VLOOKUP($H141,Data!$C$6:$Y$29,12,FALSE))</f>
        <v/>
      </c>
      <c r="U141" s="2" t="str">
        <f>IF($H141="","",VLOOKUP($H141,Data!$C$6:$Y$29,13,FALSE))</f>
        <v/>
      </c>
      <c r="V141" s="2" t="str">
        <f>IF($H141="","",VLOOKUP($H141,Data!$C$6:$Y$29,14,FALSE))</f>
        <v/>
      </c>
      <c r="W141" s="2" t="str">
        <f>IF($H141="","",VLOOKUP($H141,Data!$C$6:$Y$29,15,FALSE))</f>
        <v/>
      </c>
      <c r="X141" s="2" t="str">
        <f>IF($H141="","",VLOOKUP($H141,Data!$C$6:$Y$29,16,FALSE))</f>
        <v/>
      </c>
      <c r="Y141" s="2" t="str">
        <f>IF($H141="","",VLOOKUP($H141,Data!$C$6:$Y$29,17,FALSE))</f>
        <v/>
      </c>
      <c r="Z141" s="2" t="str">
        <f>IF($H141="","",VLOOKUP($H141,Data!$C$6:$Y$29,18,FALSE))</f>
        <v/>
      </c>
      <c r="AA141" s="2" t="str">
        <f>IF($H141="","",VLOOKUP($H141,Data!$C$6:$Y$29,19,FALSE))</f>
        <v/>
      </c>
      <c r="AB141" s="2" t="str">
        <f>IF($H141="","",VLOOKUP($H141,Data!$C$6:$Y$29,20,FALSE))</f>
        <v/>
      </c>
      <c r="AC141" s="2" t="str">
        <f>IF($H141="","",VLOOKUP($H141,Data!$C$6:$Y$29,21,FALSE))</f>
        <v/>
      </c>
      <c r="AD141" s="2" t="str">
        <f>IF($H141="","",VLOOKUP($H141,Data!$C$6:$Y$29,22,FALSE))</f>
        <v/>
      </c>
      <c r="AE141" s="3" t="str">
        <f>IF($H141="","",VLOOKUP($H141,Data!$C$6:$Y$29,23,FALSE))</f>
        <v/>
      </c>
      <c r="AG141" s="76" t="str">
        <f>IF($E141="","",IF($C141="DUCTED",VLOOKUP($E141,'DX-Data'!$D$5:$J$11,7,TRUE),IF($C141="DECORATIVE",VLOOKUP($E141,'DX-Data'!$D$19:$J$23,7,TRUE),IF($C141="PACKAGED",VLOOKUP($E141,'DX-Data'!$D$24:$J$30,7,TRUE),IF($C141="DUCTED-INV",VLOOKUP($E141,'DX-Data'!$D$12:$J$18,7,TRUE),"CHOOSE AC TYPE")))))</f>
        <v/>
      </c>
      <c r="AH141" s="76" t="str">
        <f>IF($F$9=TRUE,IF($C141="DUCTED",VLOOKUP($F141,'DX-Data'!$F$5:$J$11,5,TRUE),IF($C141="DECORATIVE",VLOOKUP($F141,'DX-Data'!$F$19:$J$23,5,TRUE),IF($C141="PACKAGED",VLOOKUP($F141,'DX-Data'!$F$24:$J$30,5,TRUE),IF($C141="DUCTED-INV",VLOOKUP($F141,'DX-Data'!$F$12:$J$18,5,TRUE),"CHOOSE AC TYPE")))),"NO SELECTION")</f>
        <v>CHOOSE AC TYPE</v>
      </c>
      <c r="AI141" s="76" t="str">
        <f>IF($G$9=TRUE,IF($C141="DUCTED",VLOOKUP($G141,'DX-Data'!$H$5:$J$11,3,TRUE),IF($C141="DECORATIVE",VLOOKUP($G141,'DX-Data'!$H$19:$J$23,3,TRUE),IF($C141="PACKAGED",VLOOKUP($G141,'DX-Data'!$H$24:$J$30,3,TRUE),IF($C141="DUCTED-INV",VLOOKUP($G141,'DX-Data'!$H$12:$J$18,3,TRUE),"CHOOSE AC TYPE")))),"NO SELECTION")</f>
        <v>NO SELECTION</v>
      </c>
      <c r="AJ141" s="77" t="str">
        <f>IF($E141="","",IF($C141="DUCTED",VLOOKUP($E141,'DX-Data'!$D$5:$J$11,6,TRUE),IF($C141="DECORATIVE",VLOOKUP($E141,'DX-Data'!$D$19:$J$23,6,TRUE),IF($C141="PACKAGED",VLOOKUP($E141,'DX-Data'!$D$24:$J$30,6,TRUE),IF($C141="DUCTED-INV",VLOOKUP($E141,'DX-Data'!$D$12:$J$18,6,TRUE),0)))))</f>
        <v/>
      </c>
      <c r="AK141" s="77" t="str">
        <f>IF($F$9=TRUE,IF($C141="DUCTED",VLOOKUP($F141,'DX-Data'!$F$5:$J$11,4,TRUE),IF($C141="DECORATIVE",VLOOKUP($F141,'DX-Data'!$F$19:$J$23,4,TRUE),IF($C141="PACKAGED",VLOOKUP($F141,'DX-Data'!$F$24:$J$30,4,TRUE),IF($C141="DUCTED-INV",VLOOKUP($F141,'DX-Data'!$F$12:$J$18,4,TRUE),"CHOOSE AC TYPE")))),0)</f>
        <v>CHOOSE AC TYPE</v>
      </c>
      <c r="AL141" s="77">
        <f>IF($G$9=TRUE,IF($C141="DUCTED",VLOOKUP($G141,'DX-Data'!$H$5:$J$11,2,TRUE),IF($C141="DECORATIVE",VLOOKUP($G141,'DX-Data'!$H$19:$J$23,2,TRUE),IF($C141="PACKAGED",VLOOKUP($G141,'DX-Data'!$H$24:$J$30,2,TRUE),IF($C141="DUCTED-INV",VLOOKUP($G141,'DX-Data'!$H$12:$J$18,2,TRUE),"CHOOSE AC TYPE")))),0)</f>
        <v>0</v>
      </c>
      <c r="AM141" s="77">
        <f t="shared" si="11"/>
        <v>0</v>
      </c>
      <c r="AN141" s="76" t="str">
        <f>IF(E141="","",VLOOKUP($AM141,'DX-Data'!$I$5:$J$31,2,FALSE))</f>
        <v/>
      </c>
      <c r="AO141" s="77" t="str">
        <f t="shared" si="12"/>
        <v/>
      </c>
    </row>
    <row r="142" spans="2:41" hidden="1" x14ac:dyDescent="0.3">
      <c r="B142" s="71"/>
      <c r="C142" s="26"/>
      <c r="D142" s="27"/>
      <c r="E142" s="26"/>
      <c r="F142" s="26"/>
      <c r="G142" s="82"/>
      <c r="H142" s="74" t="str">
        <f t="shared" si="9"/>
        <v/>
      </c>
      <c r="I142" s="2" t="str">
        <f t="shared" si="10"/>
        <v/>
      </c>
      <c r="J142" s="21" t="str">
        <f>IF($H142="","",VLOOKUP($H142,Data!$C$6:$Y$29,2,FALSE))</f>
        <v/>
      </c>
      <c r="K142" s="2" t="str">
        <f>IF($H142="","",VLOOKUP($H142,Data!$C$6:$Y$29,3,FALSE))</f>
        <v/>
      </c>
      <c r="L142" s="2" t="str">
        <f>IF($H142="","",VLOOKUP($H142,Data!$C$6:$Y$29,4,FALSE))</f>
        <v/>
      </c>
      <c r="M142" s="2" t="str">
        <f>IF($H142="","",VLOOKUP($H142,Data!$C$6:$Y$29,5,FALSE))</f>
        <v/>
      </c>
      <c r="N142" s="2" t="str">
        <f>IF($H142="","",VLOOKUP($H142,Data!$C$6:$Y$29,6,FALSE))</f>
        <v/>
      </c>
      <c r="O142" s="2" t="str">
        <f>IF($H142="","",VLOOKUP($H142,Data!$C$6:$Y$29,7,FALSE))</f>
        <v/>
      </c>
      <c r="P142" s="2" t="str">
        <f>IF($H142="","",VLOOKUP($H142,Data!$C$6:$Y$29,8,FALSE))</f>
        <v/>
      </c>
      <c r="Q142" s="2" t="str">
        <f>IF($H142="","",VLOOKUP($H142,Data!$C$6:$Y$29,9,FALSE))</f>
        <v/>
      </c>
      <c r="R142" s="2" t="str">
        <f>IF($H142="","",VLOOKUP($H142,Data!$C$6:$Y$29,10,FALSE))</f>
        <v/>
      </c>
      <c r="S142" s="2" t="str">
        <f>IF($H142="","",VLOOKUP($H142,Data!$C$6:$Y$29,11,FALSE))</f>
        <v/>
      </c>
      <c r="T142" s="2" t="str">
        <f>IF($H142="","",VLOOKUP($H142,Data!$C$6:$Y$29,12,FALSE))</f>
        <v/>
      </c>
      <c r="U142" s="2" t="str">
        <f>IF($H142="","",VLOOKUP($H142,Data!$C$6:$Y$29,13,FALSE))</f>
        <v/>
      </c>
      <c r="V142" s="2" t="str">
        <f>IF($H142="","",VLOOKUP($H142,Data!$C$6:$Y$29,14,FALSE))</f>
        <v/>
      </c>
      <c r="W142" s="2" t="str">
        <f>IF($H142="","",VLOOKUP($H142,Data!$C$6:$Y$29,15,FALSE))</f>
        <v/>
      </c>
      <c r="X142" s="2" t="str">
        <f>IF($H142="","",VLOOKUP($H142,Data!$C$6:$Y$29,16,FALSE))</f>
        <v/>
      </c>
      <c r="Y142" s="2" t="str">
        <f>IF($H142="","",VLOOKUP($H142,Data!$C$6:$Y$29,17,FALSE))</f>
        <v/>
      </c>
      <c r="Z142" s="2" t="str">
        <f>IF($H142="","",VLOOKUP($H142,Data!$C$6:$Y$29,18,FALSE))</f>
        <v/>
      </c>
      <c r="AA142" s="2" t="str">
        <f>IF($H142="","",VLOOKUP($H142,Data!$C$6:$Y$29,19,FALSE))</f>
        <v/>
      </c>
      <c r="AB142" s="2" t="str">
        <f>IF($H142="","",VLOOKUP($H142,Data!$C$6:$Y$29,20,FALSE))</f>
        <v/>
      </c>
      <c r="AC142" s="2" t="str">
        <f>IF($H142="","",VLOOKUP($H142,Data!$C$6:$Y$29,21,FALSE))</f>
        <v/>
      </c>
      <c r="AD142" s="2" t="str">
        <f>IF($H142="","",VLOOKUP($H142,Data!$C$6:$Y$29,22,FALSE))</f>
        <v/>
      </c>
      <c r="AE142" s="3" t="str">
        <f>IF($H142="","",VLOOKUP($H142,Data!$C$6:$Y$29,23,FALSE))</f>
        <v/>
      </c>
      <c r="AG142" s="76" t="str">
        <f>IF($E142="","",IF($C142="DUCTED",VLOOKUP($E142,'DX-Data'!$D$5:$J$11,7,TRUE),IF($C142="DECORATIVE",VLOOKUP($E142,'DX-Data'!$D$19:$J$23,7,TRUE),IF($C142="PACKAGED",VLOOKUP($E142,'DX-Data'!$D$24:$J$30,7,TRUE),IF($C142="DUCTED-INV",VLOOKUP($E142,'DX-Data'!$D$12:$J$18,7,TRUE),"CHOOSE AC TYPE")))))</f>
        <v/>
      </c>
      <c r="AH142" s="76" t="str">
        <f>IF($F$9=TRUE,IF($C142="DUCTED",VLOOKUP($F142,'DX-Data'!$F$5:$J$11,5,TRUE),IF($C142="DECORATIVE",VLOOKUP($F142,'DX-Data'!$F$19:$J$23,5,TRUE),IF($C142="PACKAGED",VLOOKUP($F142,'DX-Data'!$F$24:$J$30,5,TRUE),IF($C142="DUCTED-INV",VLOOKUP($F142,'DX-Data'!$F$12:$J$18,5,TRUE),"CHOOSE AC TYPE")))),"NO SELECTION")</f>
        <v>CHOOSE AC TYPE</v>
      </c>
      <c r="AI142" s="76" t="str">
        <f>IF($G$9=TRUE,IF($C142="DUCTED",VLOOKUP($G142,'DX-Data'!$H$5:$J$11,3,TRUE),IF($C142="DECORATIVE",VLOOKUP($G142,'DX-Data'!$H$19:$J$23,3,TRUE),IF($C142="PACKAGED",VLOOKUP($G142,'DX-Data'!$H$24:$J$30,3,TRUE),IF($C142="DUCTED-INV",VLOOKUP($G142,'DX-Data'!$H$12:$J$18,3,TRUE),"CHOOSE AC TYPE")))),"NO SELECTION")</f>
        <v>NO SELECTION</v>
      </c>
      <c r="AJ142" s="77" t="str">
        <f>IF($E142="","",IF($C142="DUCTED",VLOOKUP($E142,'DX-Data'!$D$5:$J$11,6,TRUE),IF($C142="DECORATIVE",VLOOKUP($E142,'DX-Data'!$D$19:$J$23,6,TRUE),IF($C142="PACKAGED",VLOOKUP($E142,'DX-Data'!$D$24:$J$30,6,TRUE),IF($C142="DUCTED-INV",VLOOKUP($E142,'DX-Data'!$D$12:$J$18,6,TRUE),0)))))</f>
        <v/>
      </c>
      <c r="AK142" s="77" t="str">
        <f>IF($F$9=TRUE,IF($C142="DUCTED",VLOOKUP($F142,'DX-Data'!$F$5:$J$11,4,TRUE),IF($C142="DECORATIVE",VLOOKUP($F142,'DX-Data'!$F$19:$J$23,4,TRUE),IF($C142="PACKAGED",VLOOKUP($F142,'DX-Data'!$F$24:$J$30,4,TRUE),IF($C142="DUCTED-INV",VLOOKUP($F142,'DX-Data'!$F$12:$J$18,4,TRUE),"CHOOSE AC TYPE")))),0)</f>
        <v>CHOOSE AC TYPE</v>
      </c>
      <c r="AL142" s="77">
        <f>IF($G$9=TRUE,IF($C142="DUCTED",VLOOKUP($G142,'DX-Data'!$H$5:$J$11,2,TRUE),IF($C142="DECORATIVE",VLOOKUP($G142,'DX-Data'!$H$19:$J$23,2,TRUE),IF($C142="PACKAGED",VLOOKUP($G142,'DX-Data'!$H$24:$J$30,2,TRUE),IF($C142="DUCTED-INV",VLOOKUP($G142,'DX-Data'!$H$12:$J$18,2,TRUE),"CHOOSE AC TYPE")))),0)</f>
        <v>0</v>
      </c>
      <c r="AM142" s="77">
        <f t="shared" si="11"/>
        <v>0</v>
      </c>
      <c r="AN142" s="76" t="str">
        <f>IF(E142="","",VLOOKUP($AM142,'DX-Data'!$I$5:$J$31,2,FALSE))</f>
        <v/>
      </c>
      <c r="AO142" s="77" t="str">
        <f t="shared" si="12"/>
        <v/>
      </c>
    </row>
    <row r="143" spans="2:41" hidden="1" x14ac:dyDescent="0.3">
      <c r="B143" s="71"/>
      <c r="C143" s="26"/>
      <c r="D143" s="27"/>
      <c r="E143" s="26"/>
      <c r="F143" s="26"/>
      <c r="G143" s="82"/>
      <c r="H143" s="74" t="str">
        <f t="shared" si="9"/>
        <v/>
      </c>
      <c r="I143" s="2" t="str">
        <f t="shared" si="10"/>
        <v/>
      </c>
      <c r="J143" s="21" t="str">
        <f>IF($H143="","",VLOOKUP($H143,Data!$C$6:$Y$29,2,FALSE))</f>
        <v/>
      </c>
      <c r="K143" s="2" t="str">
        <f>IF($H143="","",VLOOKUP($H143,Data!$C$6:$Y$29,3,FALSE))</f>
        <v/>
      </c>
      <c r="L143" s="2" t="str">
        <f>IF($H143="","",VLOOKUP($H143,Data!$C$6:$Y$29,4,FALSE))</f>
        <v/>
      </c>
      <c r="M143" s="2" t="str">
        <f>IF($H143="","",VLOOKUP($H143,Data!$C$6:$Y$29,5,FALSE))</f>
        <v/>
      </c>
      <c r="N143" s="2" t="str">
        <f>IF($H143="","",VLOOKUP($H143,Data!$C$6:$Y$29,6,FALSE))</f>
        <v/>
      </c>
      <c r="O143" s="2" t="str">
        <f>IF($H143="","",VLOOKUP($H143,Data!$C$6:$Y$29,7,FALSE))</f>
        <v/>
      </c>
      <c r="P143" s="2" t="str">
        <f>IF($H143="","",VLOOKUP($H143,Data!$C$6:$Y$29,8,FALSE))</f>
        <v/>
      </c>
      <c r="Q143" s="2" t="str">
        <f>IF($H143="","",VLOOKUP($H143,Data!$C$6:$Y$29,9,FALSE))</f>
        <v/>
      </c>
      <c r="R143" s="2" t="str">
        <f>IF($H143="","",VLOOKUP($H143,Data!$C$6:$Y$29,10,FALSE))</f>
        <v/>
      </c>
      <c r="S143" s="2" t="str">
        <f>IF($H143="","",VLOOKUP($H143,Data!$C$6:$Y$29,11,FALSE))</f>
        <v/>
      </c>
      <c r="T143" s="2" t="str">
        <f>IF($H143="","",VLOOKUP($H143,Data!$C$6:$Y$29,12,FALSE))</f>
        <v/>
      </c>
      <c r="U143" s="2" t="str">
        <f>IF($H143="","",VLOOKUP($H143,Data!$C$6:$Y$29,13,FALSE))</f>
        <v/>
      </c>
      <c r="V143" s="2" t="str">
        <f>IF($H143="","",VLOOKUP($H143,Data!$C$6:$Y$29,14,FALSE))</f>
        <v/>
      </c>
      <c r="W143" s="2" t="str">
        <f>IF($H143="","",VLOOKUP($H143,Data!$C$6:$Y$29,15,FALSE))</f>
        <v/>
      </c>
      <c r="X143" s="2" t="str">
        <f>IF($H143="","",VLOOKUP($H143,Data!$C$6:$Y$29,16,FALSE))</f>
        <v/>
      </c>
      <c r="Y143" s="2" t="str">
        <f>IF($H143="","",VLOOKUP($H143,Data!$C$6:$Y$29,17,FALSE))</f>
        <v/>
      </c>
      <c r="Z143" s="2" t="str">
        <f>IF($H143="","",VLOOKUP($H143,Data!$C$6:$Y$29,18,FALSE))</f>
        <v/>
      </c>
      <c r="AA143" s="2" t="str">
        <f>IF($H143="","",VLOOKUP($H143,Data!$C$6:$Y$29,19,FALSE))</f>
        <v/>
      </c>
      <c r="AB143" s="2" t="str">
        <f>IF($H143="","",VLOOKUP($H143,Data!$C$6:$Y$29,20,FALSE))</f>
        <v/>
      </c>
      <c r="AC143" s="2" t="str">
        <f>IF($H143="","",VLOOKUP($H143,Data!$C$6:$Y$29,21,FALSE))</f>
        <v/>
      </c>
      <c r="AD143" s="2" t="str">
        <f>IF($H143="","",VLOOKUP($H143,Data!$C$6:$Y$29,22,FALSE))</f>
        <v/>
      </c>
      <c r="AE143" s="3" t="str">
        <f>IF($H143="","",VLOOKUP($H143,Data!$C$6:$Y$29,23,FALSE))</f>
        <v/>
      </c>
      <c r="AG143" s="76" t="str">
        <f>IF($E143="","",IF($C143="DUCTED",VLOOKUP($E143,'DX-Data'!$D$5:$J$11,7,TRUE),IF($C143="DECORATIVE",VLOOKUP($E143,'DX-Data'!$D$19:$J$23,7,TRUE),IF($C143="PACKAGED",VLOOKUP($E143,'DX-Data'!$D$24:$J$30,7,TRUE),IF($C143="DUCTED-INV",VLOOKUP($E143,'DX-Data'!$D$12:$J$18,7,TRUE),"CHOOSE AC TYPE")))))</f>
        <v/>
      </c>
      <c r="AH143" s="76" t="str">
        <f>IF($F$9=TRUE,IF($C143="DUCTED",VLOOKUP($F143,'DX-Data'!$F$5:$J$11,5,TRUE),IF($C143="DECORATIVE",VLOOKUP($F143,'DX-Data'!$F$19:$J$23,5,TRUE),IF($C143="PACKAGED",VLOOKUP($F143,'DX-Data'!$F$24:$J$30,5,TRUE),IF($C143="DUCTED-INV",VLOOKUP($F143,'DX-Data'!$F$12:$J$18,5,TRUE),"CHOOSE AC TYPE")))),"NO SELECTION")</f>
        <v>CHOOSE AC TYPE</v>
      </c>
      <c r="AI143" s="76" t="str">
        <f>IF($G$9=TRUE,IF($C143="DUCTED",VLOOKUP($G143,'DX-Data'!$H$5:$J$11,3,TRUE),IF($C143="DECORATIVE",VLOOKUP($G143,'DX-Data'!$H$19:$J$23,3,TRUE),IF($C143="PACKAGED",VLOOKUP($G143,'DX-Data'!$H$24:$J$30,3,TRUE),IF($C143="DUCTED-INV",VLOOKUP($G143,'DX-Data'!$H$12:$J$18,3,TRUE),"CHOOSE AC TYPE")))),"NO SELECTION")</f>
        <v>NO SELECTION</v>
      </c>
      <c r="AJ143" s="77" t="str">
        <f>IF($E143="","",IF($C143="DUCTED",VLOOKUP($E143,'DX-Data'!$D$5:$J$11,6,TRUE),IF($C143="DECORATIVE",VLOOKUP($E143,'DX-Data'!$D$19:$J$23,6,TRUE),IF($C143="PACKAGED",VLOOKUP($E143,'DX-Data'!$D$24:$J$30,6,TRUE),IF($C143="DUCTED-INV",VLOOKUP($E143,'DX-Data'!$D$12:$J$18,6,TRUE),0)))))</f>
        <v/>
      </c>
      <c r="AK143" s="77" t="str">
        <f>IF($F$9=TRUE,IF($C143="DUCTED",VLOOKUP($F143,'DX-Data'!$F$5:$J$11,4,TRUE),IF($C143="DECORATIVE",VLOOKUP($F143,'DX-Data'!$F$19:$J$23,4,TRUE),IF($C143="PACKAGED",VLOOKUP($F143,'DX-Data'!$F$24:$J$30,4,TRUE),IF($C143="DUCTED-INV",VLOOKUP($F143,'DX-Data'!$F$12:$J$18,4,TRUE),"CHOOSE AC TYPE")))),0)</f>
        <v>CHOOSE AC TYPE</v>
      </c>
      <c r="AL143" s="77">
        <f>IF($G$9=TRUE,IF($C143="DUCTED",VLOOKUP($G143,'DX-Data'!$H$5:$J$11,2,TRUE),IF($C143="DECORATIVE",VLOOKUP($G143,'DX-Data'!$H$19:$J$23,2,TRUE),IF($C143="PACKAGED",VLOOKUP($G143,'DX-Data'!$H$24:$J$30,2,TRUE),IF($C143="DUCTED-INV",VLOOKUP($G143,'DX-Data'!$H$12:$J$18,2,TRUE),"CHOOSE AC TYPE")))),0)</f>
        <v>0</v>
      </c>
      <c r="AM143" s="77">
        <f t="shared" si="11"/>
        <v>0</v>
      </c>
      <c r="AN143" s="76" t="str">
        <f>IF(E143="","",VLOOKUP($AM143,'DX-Data'!$I$5:$J$31,2,FALSE))</f>
        <v/>
      </c>
      <c r="AO143" s="77" t="str">
        <f t="shared" si="12"/>
        <v/>
      </c>
    </row>
    <row r="144" spans="2:41" hidden="1" x14ac:dyDescent="0.3">
      <c r="B144" s="71"/>
      <c r="C144" s="26"/>
      <c r="D144" s="27"/>
      <c r="E144" s="26"/>
      <c r="F144" s="26"/>
      <c r="G144" s="82"/>
      <c r="H144" s="74" t="str">
        <f t="shared" si="9"/>
        <v/>
      </c>
      <c r="I144" s="2" t="str">
        <f t="shared" si="10"/>
        <v/>
      </c>
      <c r="J144" s="21" t="str">
        <f>IF($H144="","",VLOOKUP($H144,Data!$C$6:$Y$29,2,FALSE))</f>
        <v/>
      </c>
      <c r="K144" s="2" t="str">
        <f>IF($H144="","",VLOOKUP($H144,Data!$C$6:$Y$29,3,FALSE))</f>
        <v/>
      </c>
      <c r="L144" s="2" t="str">
        <f>IF($H144="","",VLOOKUP($H144,Data!$C$6:$Y$29,4,FALSE))</f>
        <v/>
      </c>
      <c r="M144" s="2" t="str">
        <f>IF($H144="","",VLOOKUP($H144,Data!$C$6:$Y$29,5,FALSE))</f>
        <v/>
      </c>
      <c r="N144" s="2" t="str">
        <f>IF($H144="","",VLOOKUP($H144,Data!$C$6:$Y$29,6,FALSE))</f>
        <v/>
      </c>
      <c r="O144" s="2" t="str">
        <f>IF($H144="","",VLOOKUP($H144,Data!$C$6:$Y$29,7,FALSE))</f>
        <v/>
      </c>
      <c r="P144" s="2" t="str">
        <f>IF($H144="","",VLOOKUP($H144,Data!$C$6:$Y$29,8,FALSE))</f>
        <v/>
      </c>
      <c r="Q144" s="2" t="str">
        <f>IF($H144="","",VLOOKUP($H144,Data!$C$6:$Y$29,9,FALSE))</f>
        <v/>
      </c>
      <c r="R144" s="2" t="str">
        <f>IF($H144="","",VLOOKUP($H144,Data!$C$6:$Y$29,10,FALSE))</f>
        <v/>
      </c>
      <c r="S144" s="2" t="str">
        <f>IF($H144="","",VLOOKUP($H144,Data!$C$6:$Y$29,11,FALSE))</f>
        <v/>
      </c>
      <c r="T144" s="2" t="str">
        <f>IF($H144="","",VLOOKUP($H144,Data!$C$6:$Y$29,12,FALSE))</f>
        <v/>
      </c>
      <c r="U144" s="2" t="str">
        <f>IF($H144="","",VLOOKUP($H144,Data!$C$6:$Y$29,13,FALSE))</f>
        <v/>
      </c>
      <c r="V144" s="2" t="str">
        <f>IF($H144="","",VLOOKUP($H144,Data!$C$6:$Y$29,14,FALSE))</f>
        <v/>
      </c>
      <c r="W144" s="2" t="str">
        <f>IF($H144="","",VLOOKUP($H144,Data!$C$6:$Y$29,15,FALSE))</f>
        <v/>
      </c>
      <c r="X144" s="2" t="str">
        <f>IF($H144="","",VLOOKUP($H144,Data!$C$6:$Y$29,16,FALSE))</f>
        <v/>
      </c>
      <c r="Y144" s="2" t="str">
        <f>IF($H144="","",VLOOKUP($H144,Data!$C$6:$Y$29,17,FALSE))</f>
        <v/>
      </c>
      <c r="Z144" s="2" t="str">
        <f>IF($H144="","",VLOOKUP($H144,Data!$C$6:$Y$29,18,FALSE))</f>
        <v/>
      </c>
      <c r="AA144" s="2" t="str">
        <f>IF($H144="","",VLOOKUP($H144,Data!$C$6:$Y$29,19,FALSE))</f>
        <v/>
      </c>
      <c r="AB144" s="2" t="str">
        <f>IF($H144="","",VLOOKUP($H144,Data!$C$6:$Y$29,20,FALSE))</f>
        <v/>
      </c>
      <c r="AC144" s="2" t="str">
        <f>IF($H144="","",VLOOKUP($H144,Data!$C$6:$Y$29,21,FALSE))</f>
        <v/>
      </c>
      <c r="AD144" s="2" t="str">
        <f>IF($H144="","",VLOOKUP($H144,Data!$C$6:$Y$29,22,FALSE))</f>
        <v/>
      </c>
      <c r="AE144" s="3" t="str">
        <f>IF($H144="","",VLOOKUP($H144,Data!$C$6:$Y$29,23,FALSE))</f>
        <v/>
      </c>
      <c r="AG144" s="76" t="str">
        <f>IF($E144="","",IF($C144="DUCTED",VLOOKUP($E144,'DX-Data'!$D$5:$J$11,7,TRUE),IF($C144="DECORATIVE",VLOOKUP($E144,'DX-Data'!$D$19:$J$23,7,TRUE),IF($C144="PACKAGED",VLOOKUP($E144,'DX-Data'!$D$24:$J$30,7,TRUE),IF($C144="DUCTED-INV",VLOOKUP($E144,'DX-Data'!$D$12:$J$18,7,TRUE),"CHOOSE AC TYPE")))))</f>
        <v/>
      </c>
      <c r="AH144" s="76" t="str">
        <f>IF($F$9=TRUE,IF($C144="DUCTED",VLOOKUP($F144,'DX-Data'!$F$5:$J$11,5,TRUE),IF($C144="DECORATIVE",VLOOKUP($F144,'DX-Data'!$F$19:$J$23,5,TRUE),IF($C144="PACKAGED",VLOOKUP($F144,'DX-Data'!$F$24:$J$30,5,TRUE),IF($C144="DUCTED-INV",VLOOKUP($F144,'DX-Data'!$F$12:$J$18,5,TRUE),"CHOOSE AC TYPE")))),"NO SELECTION")</f>
        <v>CHOOSE AC TYPE</v>
      </c>
      <c r="AI144" s="76" t="str">
        <f>IF($G$9=TRUE,IF($C144="DUCTED",VLOOKUP($G144,'DX-Data'!$H$5:$J$11,3,TRUE),IF($C144="DECORATIVE",VLOOKUP($G144,'DX-Data'!$H$19:$J$23,3,TRUE),IF($C144="PACKAGED",VLOOKUP($G144,'DX-Data'!$H$24:$J$30,3,TRUE),IF($C144="DUCTED-INV",VLOOKUP($G144,'DX-Data'!$H$12:$J$18,3,TRUE),"CHOOSE AC TYPE")))),"NO SELECTION")</f>
        <v>NO SELECTION</v>
      </c>
      <c r="AJ144" s="77" t="str">
        <f>IF($E144="","",IF($C144="DUCTED",VLOOKUP($E144,'DX-Data'!$D$5:$J$11,6,TRUE),IF($C144="DECORATIVE",VLOOKUP($E144,'DX-Data'!$D$19:$J$23,6,TRUE),IF($C144="PACKAGED",VLOOKUP($E144,'DX-Data'!$D$24:$J$30,6,TRUE),IF($C144="DUCTED-INV",VLOOKUP($E144,'DX-Data'!$D$12:$J$18,6,TRUE),0)))))</f>
        <v/>
      </c>
      <c r="AK144" s="77" t="str">
        <f>IF($F$9=TRUE,IF($C144="DUCTED",VLOOKUP($F144,'DX-Data'!$F$5:$J$11,4,TRUE),IF($C144="DECORATIVE",VLOOKUP($F144,'DX-Data'!$F$19:$J$23,4,TRUE),IF($C144="PACKAGED",VLOOKUP($F144,'DX-Data'!$F$24:$J$30,4,TRUE),IF($C144="DUCTED-INV",VLOOKUP($F144,'DX-Data'!$F$12:$J$18,4,TRUE),"CHOOSE AC TYPE")))),0)</f>
        <v>CHOOSE AC TYPE</v>
      </c>
      <c r="AL144" s="77">
        <f>IF($G$9=TRUE,IF($C144="DUCTED",VLOOKUP($G144,'DX-Data'!$H$5:$J$11,2,TRUE),IF($C144="DECORATIVE",VLOOKUP($G144,'DX-Data'!$H$19:$J$23,2,TRUE),IF($C144="PACKAGED",VLOOKUP($G144,'DX-Data'!$H$24:$J$30,2,TRUE),IF($C144="DUCTED-INV",VLOOKUP($G144,'DX-Data'!$H$12:$J$18,2,TRUE),"CHOOSE AC TYPE")))),0)</f>
        <v>0</v>
      </c>
      <c r="AM144" s="77">
        <f t="shared" si="11"/>
        <v>0</v>
      </c>
      <c r="AN144" s="76" t="str">
        <f>IF(E144="","",VLOOKUP($AM144,'DX-Data'!$I$5:$J$31,2,FALSE))</f>
        <v/>
      </c>
      <c r="AO144" s="77" t="str">
        <f t="shared" si="12"/>
        <v/>
      </c>
    </row>
    <row r="145" spans="2:41" hidden="1" x14ac:dyDescent="0.3">
      <c r="B145" s="71"/>
      <c r="C145" s="26"/>
      <c r="D145" s="27"/>
      <c r="E145" s="26"/>
      <c r="F145" s="26"/>
      <c r="G145" s="82"/>
      <c r="H145" s="74" t="str">
        <f t="shared" si="9"/>
        <v/>
      </c>
      <c r="I145" s="2" t="str">
        <f t="shared" si="10"/>
        <v/>
      </c>
      <c r="J145" s="21" t="str">
        <f>IF($H145="","",VLOOKUP($H145,Data!$C$6:$Y$29,2,FALSE))</f>
        <v/>
      </c>
      <c r="K145" s="2" t="str">
        <f>IF($H145="","",VLOOKUP($H145,Data!$C$6:$Y$29,3,FALSE))</f>
        <v/>
      </c>
      <c r="L145" s="2" t="str">
        <f>IF($H145="","",VLOOKUP($H145,Data!$C$6:$Y$29,4,FALSE))</f>
        <v/>
      </c>
      <c r="M145" s="2" t="str">
        <f>IF($H145="","",VLOOKUP($H145,Data!$C$6:$Y$29,5,FALSE))</f>
        <v/>
      </c>
      <c r="N145" s="2" t="str">
        <f>IF($H145="","",VLOOKUP($H145,Data!$C$6:$Y$29,6,FALSE))</f>
        <v/>
      </c>
      <c r="O145" s="2" t="str">
        <f>IF($H145="","",VLOOKUP($H145,Data!$C$6:$Y$29,7,FALSE))</f>
        <v/>
      </c>
      <c r="P145" s="2" t="str">
        <f>IF($H145="","",VLOOKUP($H145,Data!$C$6:$Y$29,8,FALSE))</f>
        <v/>
      </c>
      <c r="Q145" s="2" t="str">
        <f>IF($H145="","",VLOOKUP($H145,Data!$C$6:$Y$29,9,FALSE))</f>
        <v/>
      </c>
      <c r="R145" s="2" t="str">
        <f>IF($H145="","",VLOOKUP($H145,Data!$C$6:$Y$29,10,FALSE))</f>
        <v/>
      </c>
      <c r="S145" s="2" t="str">
        <f>IF($H145="","",VLOOKUP($H145,Data!$C$6:$Y$29,11,FALSE))</f>
        <v/>
      </c>
      <c r="T145" s="2" t="str">
        <f>IF($H145="","",VLOOKUP($H145,Data!$C$6:$Y$29,12,FALSE))</f>
        <v/>
      </c>
      <c r="U145" s="2" t="str">
        <f>IF($H145="","",VLOOKUP($H145,Data!$C$6:$Y$29,13,FALSE))</f>
        <v/>
      </c>
      <c r="V145" s="2" t="str">
        <f>IF($H145="","",VLOOKUP($H145,Data!$C$6:$Y$29,14,FALSE))</f>
        <v/>
      </c>
      <c r="W145" s="2" t="str">
        <f>IF($H145="","",VLOOKUP($H145,Data!$C$6:$Y$29,15,FALSE))</f>
        <v/>
      </c>
      <c r="X145" s="2" t="str">
        <f>IF($H145="","",VLOOKUP($H145,Data!$C$6:$Y$29,16,FALSE))</f>
        <v/>
      </c>
      <c r="Y145" s="2" t="str">
        <f>IF($H145="","",VLOOKUP($H145,Data!$C$6:$Y$29,17,FALSE))</f>
        <v/>
      </c>
      <c r="Z145" s="2" t="str">
        <f>IF($H145="","",VLOOKUP($H145,Data!$C$6:$Y$29,18,FALSE))</f>
        <v/>
      </c>
      <c r="AA145" s="2" t="str">
        <f>IF($H145="","",VLOOKUP($H145,Data!$C$6:$Y$29,19,FALSE))</f>
        <v/>
      </c>
      <c r="AB145" s="2" t="str">
        <f>IF($H145="","",VLOOKUP($H145,Data!$C$6:$Y$29,20,FALSE))</f>
        <v/>
      </c>
      <c r="AC145" s="2" t="str">
        <f>IF($H145="","",VLOOKUP($H145,Data!$C$6:$Y$29,21,FALSE))</f>
        <v/>
      </c>
      <c r="AD145" s="2" t="str">
        <f>IF($H145="","",VLOOKUP($H145,Data!$C$6:$Y$29,22,FALSE))</f>
        <v/>
      </c>
      <c r="AE145" s="3" t="str">
        <f>IF($H145="","",VLOOKUP($H145,Data!$C$6:$Y$29,23,FALSE))</f>
        <v/>
      </c>
      <c r="AG145" s="76" t="str">
        <f>IF($E145="","",IF($C145="DUCTED",VLOOKUP($E145,'DX-Data'!$D$5:$J$11,7,TRUE),IF($C145="DECORATIVE",VLOOKUP($E145,'DX-Data'!$D$19:$J$23,7,TRUE),IF($C145="PACKAGED",VLOOKUP($E145,'DX-Data'!$D$24:$J$30,7,TRUE),IF($C145="DUCTED-INV",VLOOKUP($E145,'DX-Data'!$D$12:$J$18,7,TRUE),"CHOOSE AC TYPE")))))</f>
        <v/>
      </c>
      <c r="AH145" s="76" t="str">
        <f>IF($F$9=TRUE,IF($C145="DUCTED",VLOOKUP($F145,'DX-Data'!$F$5:$J$11,5,TRUE),IF($C145="DECORATIVE",VLOOKUP($F145,'DX-Data'!$F$19:$J$23,5,TRUE),IF($C145="PACKAGED",VLOOKUP($F145,'DX-Data'!$F$24:$J$30,5,TRUE),IF($C145="DUCTED-INV",VLOOKUP($F145,'DX-Data'!$F$12:$J$18,5,TRUE),"CHOOSE AC TYPE")))),"NO SELECTION")</f>
        <v>CHOOSE AC TYPE</v>
      </c>
      <c r="AI145" s="76" t="str">
        <f>IF($G$9=TRUE,IF($C145="DUCTED",VLOOKUP($G145,'DX-Data'!$H$5:$J$11,3,TRUE),IF($C145="DECORATIVE",VLOOKUP($G145,'DX-Data'!$H$19:$J$23,3,TRUE),IF($C145="PACKAGED",VLOOKUP($G145,'DX-Data'!$H$24:$J$30,3,TRUE),IF($C145="DUCTED-INV",VLOOKUP($G145,'DX-Data'!$H$12:$J$18,3,TRUE),"CHOOSE AC TYPE")))),"NO SELECTION")</f>
        <v>NO SELECTION</v>
      </c>
      <c r="AJ145" s="77" t="str">
        <f>IF($E145="","",IF($C145="DUCTED",VLOOKUP($E145,'DX-Data'!$D$5:$J$11,6,TRUE),IF($C145="DECORATIVE",VLOOKUP($E145,'DX-Data'!$D$19:$J$23,6,TRUE),IF($C145="PACKAGED",VLOOKUP($E145,'DX-Data'!$D$24:$J$30,6,TRUE),IF($C145="DUCTED-INV",VLOOKUP($E145,'DX-Data'!$D$12:$J$18,6,TRUE),0)))))</f>
        <v/>
      </c>
      <c r="AK145" s="77" t="str">
        <f>IF($F$9=TRUE,IF($C145="DUCTED",VLOOKUP($F145,'DX-Data'!$F$5:$J$11,4,TRUE),IF($C145="DECORATIVE",VLOOKUP($F145,'DX-Data'!$F$19:$J$23,4,TRUE),IF($C145="PACKAGED",VLOOKUP($F145,'DX-Data'!$F$24:$J$30,4,TRUE),IF($C145="DUCTED-INV",VLOOKUP($F145,'DX-Data'!$F$12:$J$18,4,TRUE),"CHOOSE AC TYPE")))),0)</f>
        <v>CHOOSE AC TYPE</v>
      </c>
      <c r="AL145" s="77">
        <f>IF($G$9=TRUE,IF($C145="DUCTED",VLOOKUP($G145,'DX-Data'!$H$5:$J$11,2,TRUE),IF($C145="DECORATIVE",VLOOKUP($G145,'DX-Data'!$H$19:$J$23,2,TRUE),IF($C145="PACKAGED",VLOOKUP($G145,'DX-Data'!$H$24:$J$30,2,TRUE),IF($C145="DUCTED-INV",VLOOKUP($G145,'DX-Data'!$H$12:$J$18,2,TRUE),"CHOOSE AC TYPE")))),0)</f>
        <v>0</v>
      </c>
      <c r="AM145" s="77">
        <f t="shared" si="11"/>
        <v>0</v>
      </c>
      <c r="AN145" s="76" t="str">
        <f>IF(E145="","",VLOOKUP($AM145,'DX-Data'!$I$5:$J$31,2,FALSE))</f>
        <v/>
      </c>
      <c r="AO145" s="77" t="str">
        <f t="shared" si="12"/>
        <v/>
      </c>
    </row>
    <row r="146" spans="2:41" hidden="1" x14ac:dyDescent="0.3">
      <c r="B146" s="71"/>
      <c r="C146" s="26"/>
      <c r="D146" s="27"/>
      <c r="E146" s="26"/>
      <c r="F146" s="26"/>
      <c r="G146" s="82"/>
      <c r="H146" s="74" t="str">
        <f t="shared" si="9"/>
        <v/>
      </c>
      <c r="I146" s="2" t="str">
        <f t="shared" si="10"/>
        <v/>
      </c>
      <c r="J146" s="21" t="str">
        <f>IF($H146="","",VLOOKUP($H146,Data!$C$6:$Y$29,2,FALSE))</f>
        <v/>
      </c>
      <c r="K146" s="2" t="str">
        <f>IF($H146="","",VLOOKUP($H146,Data!$C$6:$Y$29,3,FALSE))</f>
        <v/>
      </c>
      <c r="L146" s="2" t="str">
        <f>IF($H146="","",VLOOKUP($H146,Data!$C$6:$Y$29,4,FALSE))</f>
        <v/>
      </c>
      <c r="M146" s="2" t="str">
        <f>IF($H146="","",VLOOKUP($H146,Data!$C$6:$Y$29,5,FALSE))</f>
        <v/>
      </c>
      <c r="N146" s="2" t="str">
        <f>IF($H146="","",VLOOKUP($H146,Data!$C$6:$Y$29,6,FALSE))</f>
        <v/>
      </c>
      <c r="O146" s="2" t="str">
        <f>IF($H146="","",VLOOKUP($H146,Data!$C$6:$Y$29,7,FALSE))</f>
        <v/>
      </c>
      <c r="P146" s="2" t="str">
        <f>IF($H146="","",VLOOKUP($H146,Data!$C$6:$Y$29,8,FALSE))</f>
        <v/>
      </c>
      <c r="Q146" s="2" t="str">
        <f>IF($H146="","",VLOOKUP($H146,Data!$C$6:$Y$29,9,FALSE))</f>
        <v/>
      </c>
      <c r="R146" s="2" t="str">
        <f>IF($H146="","",VLOOKUP($H146,Data!$C$6:$Y$29,10,FALSE))</f>
        <v/>
      </c>
      <c r="S146" s="2" t="str">
        <f>IF($H146="","",VLOOKUP($H146,Data!$C$6:$Y$29,11,FALSE))</f>
        <v/>
      </c>
      <c r="T146" s="2" t="str">
        <f>IF($H146="","",VLOOKUP($H146,Data!$C$6:$Y$29,12,FALSE))</f>
        <v/>
      </c>
      <c r="U146" s="2" t="str">
        <f>IF($H146="","",VLOOKUP($H146,Data!$C$6:$Y$29,13,FALSE))</f>
        <v/>
      </c>
      <c r="V146" s="2" t="str">
        <f>IF($H146="","",VLOOKUP($H146,Data!$C$6:$Y$29,14,FALSE))</f>
        <v/>
      </c>
      <c r="W146" s="2" t="str">
        <f>IF($H146="","",VLOOKUP($H146,Data!$C$6:$Y$29,15,FALSE))</f>
        <v/>
      </c>
      <c r="X146" s="2" t="str">
        <f>IF($H146="","",VLOOKUP($H146,Data!$C$6:$Y$29,16,FALSE))</f>
        <v/>
      </c>
      <c r="Y146" s="2" t="str">
        <f>IF($H146="","",VLOOKUP($H146,Data!$C$6:$Y$29,17,FALSE))</f>
        <v/>
      </c>
      <c r="Z146" s="2" t="str">
        <f>IF($H146="","",VLOOKUP($H146,Data!$C$6:$Y$29,18,FALSE))</f>
        <v/>
      </c>
      <c r="AA146" s="2" t="str">
        <f>IF($H146="","",VLOOKUP($H146,Data!$C$6:$Y$29,19,FALSE))</f>
        <v/>
      </c>
      <c r="AB146" s="2" t="str">
        <f>IF($H146="","",VLOOKUP($H146,Data!$C$6:$Y$29,20,FALSE))</f>
        <v/>
      </c>
      <c r="AC146" s="2" t="str">
        <f>IF($H146="","",VLOOKUP($H146,Data!$C$6:$Y$29,21,FALSE))</f>
        <v/>
      </c>
      <c r="AD146" s="2" t="str">
        <f>IF($H146="","",VLOOKUP($H146,Data!$C$6:$Y$29,22,FALSE))</f>
        <v/>
      </c>
      <c r="AE146" s="3" t="str">
        <f>IF($H146="","",VLOOKUP($H146,Data!$C$6:$Y$29,23,FALSE))</f>
        <v/>
      </c>
      <c r="AG146" s="76" t="str">
        <f>IF($E146="","",IF($C146="DUCTED",VLOOKUP($E146,'DX-Data'!$D$5:$J$11,7,TRUE),IF($C146="DECORATIVE",VLOOKUP($E146,'DX-Data'!$D$19:$J$23,7,TRUE),IF($C146="PACKAGED",VLOOKUP($E146,'DX-Data'!$D$24:$J$30,7,TRUE),IF($C146="DUCTED-INV",VLOOKUP($E146,'DX-Data'!$D$12:$J$18,7,TRUE),"CHOOSE AC TYPE")))))</f>
        <v/>
      </c>
      <c r="AH146" s="76" t="str">
        <f>IF($F$9=TRUE,IF($C146="DUCTED",VLOOKUP($F146,'DX-Data'!$F$5:$J$11,5,TRUE),IF($C146="DECORATIVE",VLOOKUP($F146,'DX-Data'!$F$19:$J$23,5,TRUE),IF($C146="PACKAGED",VLOOKUP($F146,'DX-Data'!$F$24:$J$30,5,TRUE),IF($C146="DUCTED-INV",VLOOKUP($F146,'DX-Data'!$F$12:$J$18,5,TRUE),"CHOOSE AC TYPE")))),"NO SELECTION")</f>
        <v>CHOOSE AC TYPE</v>
      </c>
      <c r="AI146" s="76" t="str">
        <f>IF($G$9=TRUE,IF($C146="DUCTED",VLOOKUP($G146,'DX-Data'!$H$5:$J$11,3,TRUE),IF($C146="DECORATIVE",VLOOKUP($G146,'DX-Data'!$H$19:$J$23,3,TRUE),IF($C146="PACKAGED",VLOOKUP($G146,'DX-Data'!$H$24:$J$30,3,TRUE),IF($C146="DUCTED-INV",VLOOKUP($G146,'DX-Data'!$H$12:$J$18,3,TRUE),"CHOOSE AC TYPE")))),"NO SELECTION")</f>
        <v>NO SELECTION</v>
      </c>
      <c r="AJ146" s="77" t="str">
        <f>IF($E146="","",IF($C146="DUCTED",VLOOKUP($E146,'DX-Data'!$D$5:$J$11,6,TRUE),IF($C146="DECORATIVE",VLOOKUP($E146,'DX-Data'!$D$19:$J$23,6,TRUE),IF($C146="PACKAGED",VLOOKUP($E146,'DX-Data'!$D$24:$J$30,6,TRUE),IF($C146="DUCTED-INV",VLOOKUP($E146,'DX-Data'!$D$12:$J$18,6,TRUE),0)))))</f>
        <v/>
      </c>
      <c r="AK146" s="77" t="str">
        <f>IF($F$9=TRUE,IF($C146="DUCTED",VLOOKUP($F146,'DX-Data'!$F$5:$J$11,4,TRUE),IF($C146="DECORATIVE",VLOOKUP($F146,'DX-Data'!$F$19:$J$23,4,TRUE),IF($C146="PACKAGED",VLOOKUP($F146,'DX-Data'!$F$24:$J$30,4,TRUE),IF($C146="DUCTED-INV",VLOOKUP($F146,'DX-Data'!$F$12:$J$18,4,TRUE),"CHOOSE AC TYPE")))),0)</f>
        <v>CHOOSE AC TYPE</v>
      </c>
      <c r="AL146" s="77">
        <f>IF($G$9=TRUE,IF($C146="DUCTED",VLOOKUP($G146,'DX-Data'!$H$5:$J$11,2,TRUE),IF($C146="DECORATIVE",VLOOKUP($G146,'DX-Data'!$H$19:$J$23,2,TRUE),IF($C146="PACKAGED",VLOOKUP($G146,'DX-Data'!$H$24:$J$30,2,TRUE),IF($C146="DUCTED-INV",VLOOKUP($G146,'DX-Data'!$H$12:$J$18,2,TRUE),"CHOOSE AC TYPE")))),0)</f>
        <v>0</v>
      </c>
      <c r="AM146" s="77">
        <f t="shared" si="11"/>
        <v>0</v>
      </c>
      <c r="AN146" s="76" t="str">
        <f>IF(E146="","",VLOOKUP($AM146,'DX-Data'!$I$5:$J$31,2,FALSE))</f>
        <v/>
      </c>
      <c r="AO146" s="77" t="str">
        <f t="shared" si="12"/>
        <v/>
      </c>
    </row>
    <row r="147" spans="2:41" hidden="1" x14ac:dyDescent="0.3">
      <c r="B147" s="71"/>
      <c r="C147" s="26"/>
      <c r="D147" s="27"/>
      <c r="E147" s="26"/>
      <c r="F147" s="26"/>
      <c r="G147" s="82"/>
      <c r="H147" s="74" t="str">
        <f t="shared" si="9"/>
        <v/>
      </c>
      <c r="I147" s="2" t="str">
        <f t="shared" si="10"/>
        <v/>
      </c>
      <c r="J147" s="21" t="str">
        <f>IF($H147="","",VLOOKUP($H147,Data!$C$6:$Y$29,2,FALSE))</f>
        <v/>
      </c>
      <c r="K147" s="2" t="str">
        <f>IF($H147="","",VLOOKUP($H147,Data!$C$6:$Y$29,3,FALSE))</f>
        <v/>
      </c>
      <c r="L147" s="2" t="str">
        <f>IF($H147="","",VLOOKUP($H147,Data!$C$6:$Y$29,4,FALSE))</f>
        <v/>
      </c>
      <c r="M147" s="2" t="str">
        <f>IF($H147="","",VLOOKUP($H147,Data!$C$6:$Y$29,5,FALSE))</f>
        <v/>
      </c>
      <c r="N147" s="2" t="str">
        <f>IF($H147="","",VLOOKUP($H147,Data!$C$6:$Y$29,6,FALSE))</f>
        <v/>
      </c>
      <c r="O147" s="2" t="str">
        <f>IF($H147="","",VLOOKUP($H147,Data!$C$6:$Y$29,7,FALSE))</f>
        <v/>
      </c>
      <c r="P147" s="2" t="str">
        <f>IF($H147="","",VLOOKUP($H147,Data!$C$6:$Y$29,8,FALSE))</f>
        <v/>
      </c>
      <c r="Q147" s="2" t="str">
        <f>IF($H147="","",VLOOKUP($H147,Data!$C$6:$Y$29,9,FALSE))</f>
        <v/>
      </c>
      <c r="R147" s="2" t="str">
        <f>IF($H147="","",VLOOKUP($H147,Data!$C$6:$Y$29,10,FALSE))</f>
        <v/>
      </c>
      <c r="S147" s="2" t="str">
        <f>IF($H147="","",VLOOKUP($H147,Data!$C$6:$Y$29,11,FALSE))</f>
        <v/>
      </c>
      <c r="T147" s="2" t="str">
        <f>IF($H147="","",VLOOKUP($H147,Data!$C$6:$Y$29,12,FALSE))</f>
        <v/>
      </c>
      <c r="U147" s="2" t="str">
        <f>IF($H147="","",VLOOKUP($H147,Data!$C$6:$Y$29,13,FALSE))</f>
        <v/>
      </c>
      <c r="V147" s="2" t="str">
        <f>IF($H147="","",VLOOKUP($H147,Data!$C$6:$Y$29,14,FALSE))</f>
        <v/>
      </c>
      <c r="W147" s="2" t="str">
        <f>IF($H147="","",VLOOKUP($H147,Data!$C$6:$Y$29,15,FALSE))</f>
        <v/>
      </c>
      <c r="X147" s="2" t="str">
        <f>IF($H147="","",VLOOKUP($H147,Data!$C$6:$Y$29,16,FALSE))</f>
        <v/>
      </c>
      <c r="Y147" s="2" t="str">
        <f>IF($H147="","",VLOOKUP($H147,Data!$C$6:$Y$29,17,FALSE))</f>
        <v/>
      </c>
      <c r="Z147" s="2" t="str">
        <f>IF($H147="","",VLOOKUP($H147,Data!$C$6:$Y$29,18,FALSE))</f>
        <v/>
      </c>
      <c r="AA147" s="2" t="str">
        <f>IF($H147="","",VLOOKUP($H147,Data!$C$6:$Y$29,19,FALSE))</f>
        <v/>
      </c>
      <c r="AB147" s="2" t="str">
        <f>IF($H147="","",VLOOKUP($H147,Data!$C$6:$Y$29,20,FALSE))</f>
        <v/>
      </c>
      <c r="AC147" s="2" t="str">
        <f>IF($H147="","",VLOOKUP($H147,Data!$C$6:$Y$29,21,FALSE))</f>
        <v/>
      </c>
      <c r="AD147" s="2" t="str">
        <f>IF($H147="","",VLOOKUP($H147,Data!$C$6:$Y$29,22,FALSE))</f>
        <v/>
      </c>
      <c r="AE147" s="3" t="str">
        <f>IF($H147="","",VLOOKUP($H147,Data!$C$6:$Y$29,23,FALSE))</f>
        <v/>
      </c>
      <c r="AG147" s="76" t="str">
        <f>IF($E147="","",IF($C147="DUCTED",VLOOKUP($E147,'DX-Data'!$D$5:$J$11,7,TRUE),IF($C147="DECORATIVE",VLOOKUP($E147,'DX-Data'!$D$19:$J$23,7,TRUE),IF($C147="PACKAGED",VLOOKUP($E147,'DX-Data'!$D$24:$J$30,7,TRUE),IF($C147="DUCTED-INV",VLOOKUP($E147,'DX-Data'!$D$12:$J$18,7,TRUE),"CHOOSE AC TYPE")))))</f>
        <v/>
      </c>
      <c r="AH147" s="76" t="str">
        <f>IF($F$9=TRUE,IF($C147="DUCTED",VLOOKUP($F147,'DX-Data'!$F$5:$J$11,5,TRUE),IF($C147="DECORATIVE",VLOOKUP($F147,'DX-Data'!$F$19:$J$23,5,TRUE),IF($C147="PACKAGED",VLOOKUP($F147,'DX-Data'!$F$24:$J$30,5,TRUE),IF($C147="DUCTED-INV",VLOOKUP($F147,'DX-Data'!$F$12:$J$18,5,TRUE),"CHOOSE AC TYPE")))),"NO SELECTION")</f>
        <v>CHOOSE AC TYPE</v>
      </c>
      <c r="AI147" s="76" t="str">
        <f>IF($G$9=TRUE,IF($C147="DUCTED",VLOOKUP($G147,'DX-Data'!$H$5:$J$11,3,TRUE),IF($C147="DECORATIVE",VLOOKUP($G147,'DX-Data'!$H$19:$J$23,3,TRUE),IF($C147="PACKAGED",VLOOKUP($G147,'DX-Data'!$H$24:$J$30,3,TRUE),IF($C147="DUCTED-INV",VLOOKUP($G147,'DX-Data'!$H$12:$J$18,3,TRUE),"CHOOSE AC TYPE")))),"NO SELECTION")</f>
        <v>NO SELECTION</v>
      </c>
      <c r="AJ147" s="77" t="str">
        <f>IF($E147="","",IF($C147="DUCTED",VLOOKUP($E147,'DX-Data'!$D$5:$J$11,6,TRUE),IF($C147="DECORATIVE",VLOOKUP($E147,'DX-Data'!$D$19:$J$23,6,TRUE),IF($C147="PACKAGED",VLOOKUP($E147,'DX-Data'!$D$24:$J$30,6,TRUE),IF($C147="DUCTED-INV",VLOOKUP($E147,'DX-Data'!$D$12:$J$18,6,TRUE),0)))))</f>
        <v/>
      </c>
      <c r="AK147" s="77" t="str">
        <f>IF($F$9=TRUE,IF($C147="DUCTED",VLOOKUP($F147,'DX-Data'!$F$5:$J$11,4,TRUE),IF($C147="DECORATIVE",VLOOKUP($F147,'DX-Data'!$F$19:$J$23,4,TRUE),IF($C147="PACKAGED",VLOOKUP($F147,'DX-Data'!$F$24:$J$30,4,TRUE),IF($C147="DUCTED-INV",VLOOKUP($F147,'DX-Data'!$F$12:$J$18,4,TRUE),"CHOOSE AC TYPE")))),0)</f>
        <v>CHOOSE AC TYPE</v>
      </c>
      <c r="AL147" s="77">
        <f>IF($G$9=TRUE,IF($C147="DUCTED",VLOOKUP($G147,'DX-Data'!$H$5:$J$11,2,TRUE),IF($C147="DECORATIVE",VLOOKUP($G147,'DX-Data'!$H$19:$J$23,2,TRUE),IF($C147="PACKAGED",VLOOKUP($G147,'DX-Data'!$H$24:$J$30,2,TRUE),IF($C147="DUCTED-INV",VLOOKUP($G147,'DX-Data'!$H$12:$J$18,2,TRUE),"CHOOSE AC TYPE")))),0)</f>
        <v>0</v>
      </c>
      <c r="AM147" s="77">
        <f t="shared" si="11"/>
        <v>0</v>
      </c>
      <c r="AN147" s="76" t="str">
        <f>IF(E147="","",VLOOKUP($AM147,'DX-Data'!$I$5:$J$31,2,FALSE))</f>
        <v/>
      </c>
      <c r="AO147" s="77" t="str">
        <f t="shared" si="12"/>
        <v/>
      </c>
    </row>
    <row r="148" spans="2:41" hidden="1" x14ac:dyDescent="0.3">
      <c r="B148" s="71"/>
      <c r="C148" s="26"/>
      <c r="D148" s="27"/>
      <c r="E148" s="26"/>
      <c r="F148" s="26"/>
      <c r="G148" s="82"/>
      <c r="H148" s="74" t="str">
        <f t="shared" si="9"/>
        <v/>
      </c>
      <c r="I148" s="2" t="str">
        <f t="shared" si="10"/>
        <v/>
      </c>
      <c r="J148" s="21" t="str">
        <f>IF($H148="","",VLOOKUP($H148,Data!$C$6:$Y$29,2,FALSE))</f>
        <v/>
      </c>
      <c r="K148" s="2" t="str">
        <f>IF($H148="","",VLOOKUP($H148,Data!$C$6:$Y$29,3,FALSE))</f>
        <v/>
      </c>
      <c r="L148" s="2" t="str">
        <f>IF($H148="","",VLOOKUP($H148,Data!$C$6:$Y$29,4,FALSE))</f>
        <v/>
      </c>
      <c r="M148" s="2" t="str">
        <f>IF($H148="","",VLOOKUP($H148,Data!$C$6:$Y$29,5,FALSE))</f>
        <v/>
      </c>
      <c r="N148" s="2" t="str">
        <f>IF($H148="","",VLOOKUP($H148,Data!$C$6:$Y$29,6,FALSE))</f>
        <v/>
      </c>
      <c r="O148" s="2" t="str">
        <f>IF($H148="","",VLOOKUP($H148,Data!$C$6:$Y$29,7,FALSE))</f>
        <v/>
      </c>
      <c r="P148" s="2" t="str">
        <f>IF($H148="","",VLOOKUP($H148,Data!$C$6:$Y$29,8,FALSE))</f>
        <v/>
      </c>
      <c r="Q148" s="2" t="str">
        <f>IF($H148="","",VLOOKUP($H148,Data!$C$6:$Y$29,9,FALSE))</f>
        <v/>
      </c>
      <c r="R148" s="2" t="str">
        <f>IF($H148="","",VLOOKUP($H148,Data!$C$6:$Y$29,10,FALSE))</f>
        <v/>
      </c>
      <c r="S148" s="2" t="str">
        <f>IF($H148="","",VLOOKUP($H148,Data!$C$6:$Y$29,11,FALSE))</f>
        <v/>
      </c>
      <c r="T148" s="2" t="str">
        <f>IF($H148="","",VLOOKUP($H148,Data!$C$6:$Y$29,12,FALSE))</f>
        <v/>
      </c>
      <c r="U148" s="2" t="str">
        <f>IF($H148="","",VLOOKUP($H148,Data!$C$6:$Y$29,13,FALSE))</f>
        <v/>
      </c>
      <c r="V148" s="2" t="str">
        <f>IF($H148="","",VLOOKUP($H148,Data!$C$6:$Y$29,14,FALSE))</f>
        <v/>
      </c>
      <c r="W148" s="2" t="str">
        <f>IF($H148="","",VLOOKUP($H148,Data!$C$6:$Y$29,15,FALSE))</f>
        <v/>
      </c>
      <c r="X148" s="2" t="str">
        <f>IF($H148="","",VLOOKUP($H148,Data!$C$6:$Y$29,16,FALSE))</f>
        <v/>
      </c>
      <c r="Y148" s="2" t="str">
        <f>IF($H148="","",VLOOKUP($H148,Data!$C$6:$Y$29,17,FALSE))</f>
        <v/>
      </c>
      <c r="Z148" s="2" t="str">
        <f>IF($H148="","",VLOOKUP($H148,Data!$C$6:$Y$29,18,FALSE))</f>
        <v/>
      </c>
      <c r="AA148" s="2" t="str">
        <f>IF($H148="","",VLOOKUP($H148,Data!$C$6:$Y$29,19,FALSE))</f>
        <v/>
      </c>
      <c r="AB148" s="2" t="str">
        <f>IF($H148="","",VLOOKUP($H148,Data!$C$6:$Y$29,20,FALSE))</f>
        <v/>
      </c>
      <c r="AC148" s="2" t="str">
        <f>IF($H148="","",VLOOKUP($H148,Data!$C$6:$Y$29,21,FALSE))</f>
        <v/>
      </c>
      <c r="AD148" s="2" t="str">
        <f>IF($H148="","",VLOOKUP($H148,Data!$C$6:$Y$29,22,FALSE))</f>
        <v/>
      </c>
      <c r="AE148" s="3" t="str">
        <f>IF($H148="","",VLOOKUP($H148,Data!$C$6:$Y$29,23,FALSE))</f>
        <v/>
      </c>
      <c r="AG148" s="76" t="str">
        <f>IF($E148="","",IF($C148="DUCTED",VLOOKUP($E148,'DX-Data'!$D$5:$J$11,7,TRUE),IF($C148="DECORATIVE",VLOOKUP($E148,'DX-Data'!$D$19:$J$23,7,TRUE),IF($C148="PACKAGED",VLOOKUP($E148,'DX-Data'!$D$24:$J$30,7,TRUE),IF($C148="DUCTED-INV",VLOOKUP($E148,'DX-Data'!$D$12:$J$18,7,TRUE),"CHOOSE AC TYPE")))))</f>
        <v/>
      </c>
      <c r="AH148" s="76" t="str">
        <f>IF($F$9=TRUE,IF($C148="DUCTED",VLOOKUP($F148,'DX-Data'!$F$5:$J$11,5,TRUE),IF($C148="DECORATIVE",VLOOKUP($F148,'DX-Data'!$F$19:$J$23,5,TRUE),IF($C148="PACKAGED",VLOOKUP($F148,'DX-Data'!$F$24:$J$30,5,TRUE),IF($C148="DUCTED-INV",VLOOKUP($F148,'DX-Data'!$F$12:$J$18,5,TRUE),"CHOOSE AC TYPE")))),"NO SELECTION")</f>
        <v>CHOOSE AC TYPE</v>
      </c>
      <c r="AI148" s="76" t="str">
        <f>IF($G$9=TRUE,IF($C148="DUCTED",VLOOKUP($G148,'DX-Data'!$H$5:$J$11,3,TRUE),IF($C148="DECORATIVE",VLOOKUP($G148,'DX-Data'!$H$19:$J$23,3,TRUE),IF($C148="PACKAGED",VLOOKUP($G148,'DX-Data'!$H$24:$J$30,3,TRUE),IF($C148="DUCTED-INV",VLOOKUP($G148,'DX-Data'!$H$12:$J$18,3,TRUE),"CHOOSE AC TYPE")))),"NO SELECTION")</f>
        <v>NO SELECTION</v>
      </c>
      <c r="AJ148" s="77" t="str">
        <f>IF($E148="","",IF($C148="DUCTED",VLOOKUP($E148,'DX-Data'!$D$5:$J$11,6,TRUE),IF($C148="DECORATIVE",VLOOKUP($E148,'DX-Data'!$D$19:$J$23,6,TRUE),IF($C148="PACKAGED",VLOOKUP($E148,'DX-Data'!$D$24:$J$30,6,TRUE),IF($C148="DUCTED-INV",VLOOKUP($E148,'DX-Data'!$D$12:$J$18,6,TRUE),0)))))</f>
        <v/>
      </c>
      <c r="AK148" s="77" t="str">
        <f>IF($F$9=TRUE,IF($C148="DUCTED",VLOOKUP($F148,'DX-Data'!$F$5:$J$11,4,TRUE),IF($C148="DECORATIVE",VLOOKUP($F148,'DX-Data'!$F$19:$J$23,4,TRUE),IF($C148="PACKAGED",VLOOKUP($F148,'DX-Data'!$F$24:$J$30,4,TRUE),IF($C148="DUCTED-INV",VLOOKUP($F148,'DX-Data'!$F$12:$J$18,4,TRUE),"CHOOSE AC TYPE")))),0)</f>
        <v>CHOOSE AC TYPE</v>
      </c>
      <c r="AL148" s="77">
        <f>IF($G$9=TRUE,IF($C148="DUCTED",VLOOKUP($G148,'DX-Data'!$H$5:$J$11,2,TRUE),IF($C148="DECORATIVE",VLOOKUP($G148,'DX-Data'!$H$19:$J$23,2,TRUE),IF($C148="PACKAGED",VLOOKUP($G148,'DX-Data'!$H$24:$J$30,2,TRUE),IF($C148="DUCTED-INV",VLOOKUP($G148,'DX-Data'!$H$12:$J$18,2,TRUE),"CHOOSE AC TYPE")))),0)</f>
        <v>0</v>
      </c>
      <c r="AM148" s="77">
        <f t="shared" si="11"/>
        <v>0</v>
      </c>
      <c r="AN148" s="76" t="str">
        <f>IF(E148="","",VLOOKUP($AM148,'DX-Data'!$I$5:$J$31,2,FALSE))</f>
        <v/>
      </c>
      <c r="AO148" s="77" t="str">
        <f t="shared" si="12"/>
        <v/>
      </c>
    </row>
    <row r="149" spans="2:41" hidden="1" x14ac:dyDescent="0.3">
      <c r="B149" s="71"/>
      <c r="C149" s="26"/>
      <c r="D149" s="27"/>
      <c r="E149" s="26"/>
      <c r="F149" s="26"/>
      <c r="G149" s="82"/>
      <c r="H149" s="74" t="str">
        <f t="shared" si="9"/>
        <v/>
      </c>
      <c r="I149" s="2" t="str">
        <f t="shared" si="10"/>
        <v/>
      </c>
      <c r="J149" s="21" t="str">
        <f>IF($H149="","",VLOOKUP($H149,Data!$C$6:$Y$29,2,FALSE))</f>
        <v/>
      </c>
      <c r="K149" s="2" t="str">
        <f>IF($H149="","",VLOOKUP($H149,Data!$C$6:$Y$29,3,FALSE))</f>
        <v/>
      </c>
      <c r="L149" s="2" t="str">
        <f>IF($H149="","",VLOOKUP($H149,Data!$C$6:$Y$29,4,FALSE))</f>
        <v/>
      </c>
      <c r="M149" s="2" t="str">
        <f>IF($H149="","",VLOOKUP($H149,Data!$C$6:$Y$29,5,FALSE))</f>
        <v/>
      </c>
      <c r="N149" s="2" t="str">
        <f>IF($H149="","",VLOOKUP($H149,Data!$C$6:$Y$29,6,FALSE))</f>
        <v/>
      </c>
      <c r="O149" s="2" t="str">
        <f>IF($H149="","",VLOOKUP($H149,Data!$C$6:$Y$29,7,FALSE))</f>
        <v/>
      </c>
      <c r="P149" s="2" t="str">
        <f>IF($H149="","",VLOOKUP($H149,Data!$C$6:$Y$29,8,FALSE))</f>
        <v/>
      </c>
      <c r="Q149" s="2" t="str">
        <f>IF($H149="","",VLOOKUP($H149,Data!$C$6:$Y$29,9,FALSE))</f>
        <v/>
      </c>
      <c r="R149" s="2" t="str">
        <f>IF($H149="","",VLOOKUP($H149,Data!$C$6:$Y$29,10,FALSE))</f>
        <v/>
      </c>
      <c r="S149" s="2" t="str">
        <f>IF($H149="","",VLOOKUP($H149,Data!$C$6:$Y$29,11,FALSE))</f>
        <v/>
      </c>
      <c r="T149" s="2" t="str">
        <f>IF($H149="","",VLOOKUP($H149,Data!$C$6:$Y$29,12,FALSE))</f>
        <v/>
      </c>
      <c r="U149" s="2" t="str">
        <f>IF($H149="","",VLOOKUP($H149,Data!$C$6:$Y$29,13,FALSE))</f>
        <v/>
      </c>
      <c r="V149" s="2" t="str">
        <f>IF($H149="","",VLOOKUP($H149,Data!$C$6:$Y$29,14,FALSE))</f>
        <v/>
      </c>
      <c r="W149" s="2" t="str">
        <f>IF($H149="","",VLOOKUP($H149,Data!$C$6:$Y$29,15,FALSE))</f>
        <v/>
      </c>
      <c r="X149" s="2" t="str">
        <f>IF($H149="","",VLOOKUP($H149,Data!$C$6:$Y$29,16,FALSE))</f>
        <v/>
      </c>
      <c r="Y149" s="2" t="str">
        <f>IF($H149="","",VLOOKUP($H149,Data!$C$6:$Y$29,17,FALSE))</f>
        <v/>
      </c>
      <c r="Z149" s="2" t="str">
        <f>IF($H149="","",VLOOKUP($H149,Data!$C$6:$Y$29,18,FALSE))</f>
        <v/>
      </c>
      <c r="AA149" s="2" t="str">
        <f>IF($H149="","",VLOOKUP($H149,Data!$C$6:$Y$29,19,FALSE))</f>
        <v/>
      </c>
      <c r="AB149" s="2" t="str">
        <f>IF($H149="","",VLOOKUP($H149,Data!$C$6:$Y$29,20,FALSE))</f>
        <v/>
      </c>
      <c r="AC149" s="2" t="str">
        <f>IF($H149="","",VLOOKUP($H149,Data!$C$6:$Y$29,21,FALSE))</f>
        <v/>
      </c>
      <c r="AD149" s="2" t="str">
        <f>IF($H149="","",VLOOKUP($H149,Data!$C$6:$Y$29,22,FALSE))</f>
        <v/>
      </c>
      <c r="AE149" s="3" t="str">
        <f>IF($H149="","",VLOOKUP($H149,Data!$C$6:$Y$29,23,FALSE))</f>
        <v/>
      </c>
      <c r="AG149" s="76" t="str">
        <f>IF($E149="","",IF($C149="DUCTED",VLOOKUP($E149,'DX-Data'!$D$5:$J$11,7,TRUE),IF($C149="DECORATIVE",VLOOKUP($E149,'DX-Data'!$D$19:$J$23,7,TRUE),IF($C149="PACKAGED",VLOOKUP($E149,'DX-Data'!$D$24:$J$30,7,TRUE),IF($C149="DUCTED-INV",VLOOKUP($E149,'DX-Data'!$D$12:$J$18,7,TRUE),"CHOOSE AC TYPE")))))</f>
        <v/>
      </c>
      <c r="AH149" s="76" t="str">
        <f>IF($F$9=TRUE,IF($C149="DUCTED",VLOOKUP($F149,'DX-Data'!$F$5:$J$11,5,TRUE),IF($C149="DECORATIVE",VLOOKUP($F149,'DX-Data'!$F$19:$J$23,5,TRUE),IF($C149="PACKAGED",VLOOKUP($F149,'DX-Data'!$F$24:$J$30,5,TRUE),IF($C149="DUCTED-INV",VLOOKUP($F149,'DX-Data'!$F$12:$J$18,5,TRUE),"CHOOSE AC TYPE")))),"NO SELECTION")</f>
        <v>CHOOSE AC TYPE</v>
      </c>
      <c r="AI149" s="76" t="str">
        <f>IF($G$9=TRUE,IF($C149="DUCTED",VLOOKUP($G149,'DX-Data'!$H$5:$J$11,3,TRUE),IF($C149="DECORATIVE",VLOOKUP($G149,'DX-Data'!$H$19:$J$23,3,TRUE),IF($C149="PACKAGED",VLOOKUP($G149,'DX-Data'!$H$24:$J$30,3,TRUE),IF($C149="DUCTED-INV",VLOOKUP($G149,'DX-Data'!$H$12:$J$18,3,TRUE),"CHOOSE AC TYPE")))),"NO SELECTION")</f>
        <v>NO SELECTION</v>
      </c>
      <c r="AJ149" s="77" t="str">
        <f>IF($E149="","",IF($C149="DUCTED",VLOOKUP($E149,'DX-Data'!$D$5:$J$11,6,TRUE),IF($C149="DECORATIVE",VLOOKUP($E149,'DX-Data'!$D$19:$J$23,6,TRUE),IF($C149="PACKAGED",VLOOKUP($E149,'DX-Data'!$D$24:$J$30,6,TRUE),IF($C149="DUCTED-INV",VLOOKUP($E149,'DX-Data'!$D$12:$J$18,6,TRUE),0)))))</f>
        <v/>
      </c>
      <c r="AK149" s="77" t="str">
        <f>IF($F$9=TRUE,IF($C149="DUCTED",VLOOKUP($F149,'DX-Data'!$F$5:$J$11,4,TRUE),IF($C149="DECORATIVE",VLOOKUP($F149,'DX-Data'!$F$19:$J$23,4,TRUE),IF($C149="PACKAGED",VLOOKUP($F149,'DX-Data'!$F$24:$J$30,4,TRUE),IF($C149="DUCTED-INV",VLOOKUP($F149,'DX-Data'!$F$12:$J$18,4,TRUE),"CHOOSE AC TYPE")))),0)</f>
        <v>CHOOSE AC TYPE</v>
      </c>
      <c r="AL149" s="77">
        <f>IF($G$9=TRUE,IF($C149="DUCTED",VLOOKUP($G149,'DX-Data'!$H$5:$J$11,2,TRUE),IF($C149="DECORATIVE",VLOOKUP($G149,'DX-Data'!$H$19:$J$23,2,TRUE),IF($C149="PACKAGED",VLOOKUP($G149,'DX-Data'!$H$24:$J$30,2,TRUE),IF($C149="DUCTED-INV",VLOOKUP($G149,'DX-Data'!$H$12:$J$18,2,TRUE),"CHOOSE AC TYPE")))),0)</f>
        <v>0</v>
      </c>
      <c r="AM149" s="77">
        <f t="shared" si="11"/>
        <v>0</v>
      </c>
      <c r="AN149" s="76" t="str">
        <f>IF(E149="","",VLOOKUP($AM149,'DX-Data'!$I$5:$J$31,2,FALSE))</f>
        <v/>
      </c>
      <c r="AO149" s="77" t="str">
        <f t="shared" si="12"/>
        <v/>
      </c>
    </row>
    <row r="150" spans="2:41" hidden="1" x14ac:dyDescent="0.3">
      <c r="B150" s="71"/>
      <c r="C150" s="26"/>
      <c r="D150" s="27"/>
      <c r="E150" s="26"/>
      <c r="F150" s="26"/>
      <c r="G150" s="82"/>
      <c r="H150" s="74" t="str">
        <f t="shared" si="9"/>
        <v/>
      </c>
      <c r="I150" s="2" t="str">
        <f t="shared" si="10"/>
        <v/>
      </c>
      <c r="J150" s="21" t="str">
        <f>IF($H150="","",VLOOKUP($H150,Data!$C$6:$Y$29,2,FALSE))</f>
        <v/>
      </c>
      <c r="K150" s="2" t="str">
        <f>IF($H150="","",VLOOKUP($H150,Data!$C$6:$Y$29,3,FALSE))</f>
        <v/>
      </c>
      <c r="L150" s="2" t="str">
        <f>IF($H150="","",VLOOKUP($H150,Data!$C$6:$Y$29,4,FALSE))</f>
        <v/>
      </c>
      <c r="M150" s="2" t="str">
        <f>IF($H150="","",VLOOKUP($H150,Data!$C$6:$Y$29,5,FALSE))</f>
        <v/>
      </c>
      <c r="N150" s="2" t="str">
        <f>IF($H150="","",VLOOKUP($H150,Data!$C$6:$Y$29,6,FALSE))</f>
        <v/>
      </c>
      <c r="O150" s="2" t="str">
        <f>IF($H150="","",VLOOKUP($H150,Data!$C$6:$Y$29,7,FALSE))</f>
        <v/>
      </c>
      <c r="P150" s="2" t="str">
        <f>IF($H150="","",VLOOKUP($H150,Data!$C$6:$Y$29,8,FALSE))</f>
        <v/>
      </c>
      <c r="Q150" s="2" t="str">
        <f>IF($H150="","",VLOOKUP($H150,Data!$C$6:$Y$29,9,FALSE))</f>
        <v/>
      </c>
      <c r="R150" s="2" t="str">
        <f>IF($H150="","",VLOOKUP($H150,Data!$C$6:$Y$29,10,FALSE))</f>
        <v/>
      </c>
      <c r="S150" s="2" t="str">
        <f>IF($H150="","",VLOOKUP($H150,Data!$C$6:$Y$29,11,FALSE))</f>
        <v/>
      </c>
      <c r="T150" s="2" t="str">
        <f>IF($H150="","",VLOOKUP($H150,Data!$C$6:$Y$29,12,FALSE))</f>
        <v/>
      </c>
      <c r="U150" s="2" t="str">
        <f>IF($H150="","",VLOOKUP($H150,Data!$C$6:$Y$29,13,FALSE))</f>
        <v/>
      </c>
      <c r="V150" s="2" t="str">
        <f>IF($H150="","",VLOOKUP($H150,Data!$C$6:$Y$29,14,FALSE))</f>
        <v/>
      </c>
      <c r="W150" s="2" t="str">
        <f>IF($H150="","",VLOOKUP($H150,Data!$C$6:$Y$29,15,FALSE))</f>
        <v/>
      </c>
      <c r="X150" s="2" t="str">
        <f>IF($H150="","",VLOOKUP($H150,Data!$C$6:$Y$29,16,FALSE))</f>
        <v/>
      </c>
      <c r="Y150" s="2" t="str">
        <f>IF($H150="","",VLOOKUP($H150,Data!$C$6:$Y$29,17,FALSE))</f>
        <v/>
      </c>
      <c r="Z150" s="2" t="str">
        <f>IF($H150="","",VLOOKUP($H150,Data!$C$6:$Y$29,18,FALSE))</f>
        <v/>
      </c>
      <c r="AA150" s="2" t="str">
        <f>IF($H150="","",VLOOKUP($H150,Data!$C$6:$Y$29,19,FALSE))</f>
        <v/>
      </c>
      <c r="AB150" s="2" t="str">
        <f>IF($H150="","",VLOOKUP($H150,Data!$C$6:$Y$29,20,FALSE))</f>
        <v/>
      </c>
      <c r="AC150" s="2" t="str">
        <f>IF($H150="","",VLOOKUP($H150,Data!$C$6:$Y$29,21,FALSE))</f>
        <v/>
      </c>
      <c r="AD150" s="2" t="str">
        <f>IF($H150="","",VLOOKUP($H150,Data!$C$6:$Y$29,22,FALSE))</f>
        <v/>
      </c>
      <c r="AE150" s="3" t="str">
        <f>IF($H150="","",VLOOKUP($H150,Data!$C$6:$Y$29,23,FALSE))</f>
        <v/>
      </c>
      <c r="AG150" s="76" t="str">
        <f>IF($E150="","",IF($C150="DUCTED",VLOOKUP($E150,'DX-Data'!$D$5:$J$11,7,TRUE),IF($C150="DECORATIVE",VLOOKUP($E150,'DX-Data'!$D$19:$J$23,7,TRUE),IF($C150="PACKAGED",VLOOKUP($E150,'DX-Data'!$D$24:$J$30,7,TRUE),IF($C150="DUCTED-INV",VLOOKUP($E150,'DX-Data'!$D$12:$J$18,7,TRUE),"CHOOSE AC TYPE")))))</f>
        <v/>
      </c>
      <c r="AH150" s="76" t="str">
        <f>IF($F$9=TRUE,IF($C150="DUCTED",VLOOKUP($F150,'DX-Data'!$F$5:$J$11,5,TRUE),IF($C150="DECORATIVE",VLOOKUP($F150,'DX-Data'!$F$19:$J$23,5,TRUE),IF($C150="PACKAGED",VLOOKUP($F150,'DX-Data'!$F$24:$J$30,5,TRUE),IF($C150="DUCTED-INV",VLOOKUP($F150,'DX-Data'!$F$12:$J$18,5,TRUE),"CHOOSE AC TYPE")))),"NO SELECTION")</f>
        <v>CHOOSE AC TYPE</v>
      </c>
      <c r="AI150" s="76" t="str">
        <f>IF($G$9=TRUE,IF($C150="DUCTED",VLOOKUP($G150,'DX-Data'!$H$5:$J$11,3,TRUE),IF($C150="DECORATIVE",VLOOKUP($G150,'DX-Data'!$H$19:$J$23,3,TRUE),IF($C150="PACKAGED",VLOOKUP($G150,'DX-Data'!$H$24:$J$30,3,TRUE),IF($C150="DUCTED-INV",VLOOKUP($G150,'DX-Data'!$H$12:$J$18,3,TRUE),"CHOOSE AC TYPE")))),"NO SELECTION")</f>
        <v>NO SELECTION</v>
      </c>
      <c r="AJ150" s="77" t="str">
        <f>IF($E150="","",IF($C150="DUCTED",VLOOKUP($E150,'DX-Data'!$D$5:$J$11,6,TRUE),IF($C150="DECORATIVE",VLOOKUP($E150,'DX-Data'!$D$19:$J$23,6,TRUE),IF($C150="PACKAGED",VLOOKUP($E150,'DX-Data'!$D$24:$J$30,6,TRUE),IF($C150="DUCTED-INV",VLOOKUP($E150,'DX-Data'!$D$12:$J$18,6,TRUE),0)))))</f>
        <v/>
      </c>
      <c r="AK150" s="77" t="str">
        <f>IF($F$9=TRUE,IF($C150="DUCTED",VLOOKUP($F150,'DX-Data'!$F$5:$J$11,4,TRUE),IF($C150="DECORATIVE",VLOOKUP($F150,'DX-Data'!$F$19:$J$23,4,TRUE),IF($C150="PACKAGED",VLOOKUP($F150,'DX-Data'!$F$24:$J$30,4,TRUE),IF($C150="DUCTED-INV",VLOOKUP($F150,'DX-Data'!$F$12:$J$18,4,TRUE),"CHOOSE AC TYPE")))),0)</f>
        <v>CHOOSE AC TYPE</v>
      </c>
      <c r="AL150" s="77">
        <f>IF($G$9=TRUE,IF($C150="DUCTED",VLOOKUP($G150,'DX-Data'!$H$5:$J$11,2,TRUE),IF($C150="DECORATIVE",VLOOKUP($G150,'DX-Data'!$H$19:$J$23,2,TRUE),IF($C150="PACKAGED",VLOOKUP($G150,'DX-Data'!$H$24:$J$30,2,TRUE),IF($C150="DUCTED-INV",VLOOKUP($G150,'DX-Data'!$H$12:$J$18,2,TRUE),"CHOOSE AC TYPE")))),0)</f>
        <v>0</v>
      </c>
      <c r="AM150" s="77">
        <f t="shared" si="11"/>
        <v>0</v>
      </c>
      <c r="AN150" s="76" t="str">
        <f>IF(E150="","",VLOOKUP($AM150,'DX-Data'!$I$5:$J$31,2,FALSE))</f>
        <v/>
      </c>
      <c r="AO150" s="77" t="str">
        <f t="shared" si="12"/>
        <v/>
      </c>
    </row>
    <row r="151" spans="2:41" hidden="1" x14ac:dyDescent="0.3">
      <c r="B151" s="71"/>
      <c r="C151" s="26"/>
      <c r="D151" s="27"/>
      <c r="E151" s="26"/>
      <c r="F151" s="26"/>
      <c r="G151" s="82"/>
      <c r="H151" s="74" t="str">
        <f t="shared" si="9"/>
        <v/>
      </c>
      <c r="I151" s="2" t="str">
        <f t="shared" si="10"/>
        <v/>
      </c>
      <c r="J151" s="21" t="str">
        <f>IF($H151="","",VLOOKUP($H151,Data!$C$6:$Y$29,2,FALSE))</f>
        <v/>
      </c>
      <c r="K151" s="2" t="str">
        <f>IF($H151="","",VLOOKUP($H151,Data!$C$6:$Y$29,3,FALSE))</f>
        <v/>
      </c>
      <c r="L151" s="2" t="str">
        <f>IF($H151="","",VLOOKUP($H151,Data!$C$6:$Y$29,4,FALSE))</f>
        <v/>
      </c>
      <c r="M151" s="2" t="str">
        <f>IF($H151="","",VLOOKUP($H151,Data!$C$6:$Y$29,5,FALSE))</f>
        <v/>
      </c>
      <c r="N151" s="2" t="str">
        <f>IF($H151="","",VLOOKUP($H151,Data!$C$6:$Y$29,6,FALSE))</f>
        <v/>
      </c>
      <c r="O151" s="2" t="str">
        <f>IF($H151="","",VLOOKUP($H151,Data!$C$6:$Y$29,7,FALSE))</f>
        <v/>
      </c>
      <c r="P151" s="2" t="str">
        <f>IF($H151="","",VLOOKUP($H151,Data!$C$6:$Y$29,8,FALSE))</f>
        <v/>
      </c>
      <c r="Q151" s="2" t="str">
        <f>IF($H151="","",VLOOKUP($H151,Data!$C$6:$Y$29,9,FALSE))</f>
        <v/>
      </c>
      <c r="R151" s="2" t="str">
        <f>IF($H151="","",VLOOKUP($H151,Data!$C$6:$Y$29,10,FALSE))</f>
        <v/>
      </c>
      <c r="S151" s="2" t="str">
        <f>IF($H151="","",VLOOKUP($H151,Data!$C$6:$Y$29,11,FALSE))</f>
        <v/>
      </c>
      <c r="T151" s="2" t="str">
        <f>IF($H151="","",VLOOKUP($H151,Data!$C$6:$Y$29,12,FALSE))</f>
        <v/>
      </c>
      <c r="U151" s="2" t="str">
        <f>IF($H151="","",VLOOKUP($H151,Data!$C$6:$Y$29,13,FALSE))</f>
        <v/>
      </c>
      <c r="V151" s="2" t="str">
        <f>IF($H151="","",VLOOKUP($H151,Data!$C$6:$Y$29,14,FALSE))</f>
        <v/>
      </c>
      <c r="W151" s="2" t="str">
        <f>IF($H151="","",VLOOKUP($H151,Data!$C$6:$Y$29,15,FALSE))</f>
        <v/>
      </c>
      <c r="X151" s="2" t="str">
        <f>IF($H151="","",VLOOKUP($H151,Data!$C$6:$Y$29,16,FALSE))</f>
        <v/>
      </c>
      <c r="Y151" s="2" t="str">
        <f>IF($H151="","",VLOOKUP($H151,Data!$C$6:$Y$29,17,FALSE))</f>
        <v/>
      </c>
      <c r="Z151" s="2" t="str">
        <f>IF($H151="","",VLOOKUP($H151,Data!$C$6:$Y$29,18,FALSE))</f>
        <v/>
      </c>
      <c r="AA151" s="2" t="str">
        <f>IF($H151="","",VLOOKUP($H151,Data!$C$6:$Y$29,19,FALSE))</f>
        <v/>
      </c>
      <c r="AB151" s="2" t="str">
        <f>IF($H151="","",VLOOKUP($H151,Data!$C$6:$Y$29,20,FALSE))</f>
        <v/>
      </c>
      <c r="AC151" s="2" t="str">
        <f>IF($H151="","",VLOOKUP($H151,Data!$C$6:$Y$29,21,FALSE))</f>
        <v/>
      </c>
      <c r="AD151" s="2" t="str">
        <f>IF($H151="","",VLOOKUP($H151,Data!$C$6:$Y$29,22,FALSE))</f>
        <v/>
      </c>
      <c r="AE151" s="3" t="str">
        <f>IF($H151="","",VLOOKUP($H151,Data!$C$6:$Y$29,23,FALSE))</f>
        <v/>
      </c>
      <c r="AG151" s="76" t="str">
        <f>IF($E151="","",IF($C151="DUCTED",VLOOKUP($E151,'DX-Data'!$D$5:$J$11,7,TRUE),IF($C151="DECORATIVE",VLOOKUP($E151,'DX-Data'!$D$19:$J$23,7,TRUE),IF($C151="PACKAGED",VLOOKUP($E151,'DX-Data'!$D$24:$J$30,7,TRUE),IF($C151="DUCTED-INV",VLOOKUP($E151,'DX-Data'!$D$12:$J$18,7,TRUE),"CHOOSE AC TYPE")))))</f>
        <v/>
      </c>
      <c r="AH151" s="76" t="str">
        <f>IF($F$9=TRUE,IF($C151="DUCTED",VLOOKUP($F151,'DX-Data'!$F$5:$J$11,5,TRUE),IF($C151="DECORATIVE",VLOOKUP($F151,'DX-Data'!$F$19:$J$23,5,TRUE),IF($C151="PACKAGED",VLOOKUP($F151,'DX-Data'!$F$24:$J$30,5,TRUE),IF($C151="DUCTED-INV",VLOOKUP($F151,'DX-Data'!$F$12:$J$18,5,TRUE),"CHOOSE AC TYPE")))),"NO SELECTION")</f>
        <v>CHOOSE AC TYPE</v>
      </c>
      <c r="AI151" s="76" t="str">
        <f>IF($G$9=TRUE,IF($C151="DUCTED",VLOOKUP($G151,'DX-Data'!$H$5:$J$11,3,TRUE),IF($C151="DECORATIVE",VLOOKUP($G151,'DX-Data'!$H$19:$J$23,3,TRUE),IF($C151="PACKAGED",VLOOKUP($G151,'DX-Data'!$H$24:$J$30,3,TRUE),IF($C151="DUCTED-INV",VLOOKUP($G151,'DX-Data'!$H$12:$J$18,3,TRUE),"CHOOSE AC TYPE")))),"NO SELECTION")</f>
        <v>NO SELECTION</v>
      </c>
      <c r="AJ151" s="77" t="str">
        <f>IF($E151="","",IF($C151="DUCTED",VLOOKUP($E151,'DX-Data'!$D$5:$J$11,6,TRUE),IF($C151="DECORATIVE",VLOOKUP($E151,'DX-Data'!$D$19:$J$23,6,TRUE),IF($C151="PACKAGED",VLOOKUP($E151,'DX-Data'!$D$24:$J$30,6,TRUE),IF($C151="DUCTED-INV",VLOOKUP($E151,'DX-Data'!$D$12:$J$18,6,TRUE),0)))))</f>
        <v/>
      </c>
      <c r="AK151" s="77" t="str">
        <f>IF($F$9=TRUE,IF($C151="DUCTED",VLOOKUP($F151,'DX-Data'!$F$5:$J$11,4,TRUE),IF($C151="DECORATIVE",VLOOKUP($F151,'DX-Data'!$F$19:$J$23,4,TRUE),IF($C151="PACKAGED",VLOOKUP($F151,'DX-Data'!$F$24:$J$30,4,TRUE),IF($C151="DUCTED-INV",VLOOKUP($F151,'DX-Data'!$F$12:$J$18,4,TRUE),"CHOOSE AC TYPE")))),0)</f>
        <v>CHOOSE AC TYPE</v>
      </c>
      <c r="AL151" s="77">
        <f>IF($G$9=TRUE,IF($C151="DUCTED",VLOOKUP($G151,'DX-Data'!$H$5:$J$11,2,TRUE),IF($C151="DECORATIVE",VLOOKUP($G151,'DX-Data'!$H$19:$J$23,2,TRUE),IF($C151="PACKAGED",VLOOKUP($G151,'DX-Data'!$H$24:$J$30,2,TRUE),IF($C151="DUCTED-INV",VLOOKUP($G151,'DX-Data'!$H$12:$J$18,2,TRUE),"CHOOSE AC TYPE")))),0)</f>
        <v>0</v>
      </c>
      <c r="AM151" s="77">
        <f t="shared" si="11"/>
        <v>0</v>
      </c>
      <c r="AN151" s="76" t="str">
        <f>IF(E151="","",VLOOKUP($AM151,'DX-Data'!$I$5:$J$31,2,FALSE))</f>
        <v/>
      </c>
      <c r="AO151" s="77" t="str">
        <f t="shared" si="12"/>
        <v/>
      </c>
    </row>
    <row r="152" spans="2:41" hidden="1" x14ac:dyDescent="0.3">
      <c r="B152" s="71"/>
      <c r="C152" s="26"/>
      <c r="D152" s="27"/>
      <c r="E152" s="26"/>
      <c r="F152" s="26"/>
      <c r="G152" s="82"/>
      <c r="H152" s="74" t="str">
        <f t="shared" si="9"/>
        <v/>
      </c>
      <c r="I152" s="2" t="str">
        <f t="shared" si="10"/>
        <v/>
      </c>
      <c r="J152" s="21" t="str">
        <f>IF($H152="","",VLOOKUP($H152,Data!$C$6:$Y$29,2,FALSE))</f>
        <v/>
      </c>
      <c r="K152" s="2" t="str">
        <f>IF($H152="","",VLOOKUP($H152,Data!$C$6:$Y$29,3,FALSE))</f>
        <v/>
      </c>
      <c r="L152" s="2" t="str">
        <f>IF($H152="","",VLOOKUP($H152,Data!$C$6:$Y$29,4,FALSE))</f>
        <v/>
      </c>
      <c r="M152" s="2" t="str">
        <f>IF($H152="","",VLOOKUP($H152,Data!$C$6:$Y$29,5,FALSE))</f>
        <v/>
      </c>
      <c r="N152" s="2" t="str">
        <f>IF($H152="","",VLOOKUP($H152,Data!$C$6:$Y$29,6,FALSE))</f>
        <v/>
      </c>
      <c r="O152" s="2" t="str">
        <f>IF($H152="","",VLOOKUP($H152,Data!$C$6:$Y$29,7,FALSE))</f>
        <v/>
      </c>
      <c r="P152" s="2" t="str">
        <f>IF($H152="","",VLOOKUP($H152,Data!$C$6:$Y$29,8,FALSE))</f>
        <v/>
      </c>
      <c r="Q152" s="2" t="str">
        <f>IF($H152="","",VLOOKUP($H152,Data!$C$6:$Y$29,9,FALSE))</f>
        <v/>
      </c>
      <c r="R152" s="2" t="str">
        <f>IF($H152="","",VLOOKUP($H152,Data!$C$6:$Y$29,10,FALSE))</f>
        <v/>
      </c>
      <c r="S152" s="2" t="str">
        <f>IF($H152="","",VLOOKUP($H152,Data!$C$6:$Y$29,11,FALSE))</f>
        <v/>
      </c>
      <c r="T152" s="2" t="str">
        <f>IF($H152="","",VLOOKUP($H152,Data!$C$6:$Y$29,12,FALSE))</f>
        <v/>
      </c>
      <c r="U152" s="2" t="str">
        <f>IF($H152="","",VLOOKUP($H152,Data!$C$6:$Y$29,13,FALSE))</f>
        <v/>
      </c>
      <c r="V152" s="2" t="str">
        <f>IF($H152="","",VLOOKUP($H152,Data!$C$6:$Y$29,14,FALSE))</f>
        <v/>
      </c>
      <c r="W152" s="2" t="str">
        <f>IF($H152="","",VLOOKUP($H152,Data!$C$6:$Y$29,15,FALSE))</f>
        <v/>
      </c>
      <c r="X152" s="2" t="str">
        <f>IF($H152="","",VLOOKUP($H152,Data!$C$6:$Y$29,16,FALSE))</f>
        <v/>
      </c>
      <c r="Y152" s="2" t="str">
        <f>IF($H152="","",VLOOKUP($H152,Data!$C$6:$Y$29,17,FALSE))</f>
        <v/>
      </c>
      <c r="Z152" s="2" t="str">
        <f>IF($H152="","",VLOOKUP($H152,Data!$C$6:$Y$29,18,FALSE))</f>
        <v/>
      </c>
      <c r="AA152" s="2" t="str">
        <f>IF($H152="","",VLOOKUP($H152,Data!$C$6:$Y$29,19,FALSE))</f>
        <v/>
      </c>
      <c r="AB152" s="2" t="str">
        <f>IF($H152="","",VLOOKUP($H152,Data!$C$6:$Y$29,20,FALSE))</f>
        <v/>
      </c>
      <c r="AC152" s="2" t="str">
        <f>IF($H152="","",VLOOKUP($H152,Data!$C$6:$Y$29,21,FALSE))</f>
        <v/>
      </c>
      <c r="AD152" s="2" t="str">
        <f>IF($H152="","",VLOOKUP($H152,Data!$C$6:$Y$29,22,FALSE))</f>
        <v/>
      </c>
      <c r="AE152" s="3" t="str">
        <f>IF($H152="","",VLOOKUP($H152,Data!$C$6:$Y$29,23,FALSE))</f>
        <v/>
      </c>
      <c r="AG152" s="76" t="str">
        <f>IF($E152="","",IF($C152="DUCTED",VLOOKUP($E152,'DX-Data'!$D$5:$J$11,7,TRUE),IF($C152="DECORATIVE",VLOOKUP($E152,'DX-Data'!$D$19:$J$23,7,TRUE),IF($C152="PACKAGED",VLOOKUP($E152,'DX-Data'!$D$24:$J$30,7,TRUE),IF($C152="DUCTED-INV",VLOOKUP($E152,'DX-Data'!$D$12:$J$18,7,TRUE),"CHOOSE AC TYPE")))))</f>
        <v/>
      </c>
      <c r="AH152" s="76" t="str">
        <f>IF($F$9=TRUE,IF($C152="DUCTED",VLOOKUP($F152,'DX-Data'!$F$5:$J$11,5,TRUE),IF($C152="DECORATIVE",VLOOKUP($F152,'DX-Data'!$F$19:$J$23,5,TRUE),IF($C152="PACKAGED",VLOOKUP($F152,'DX-Data'!$F$24:$J$30,5,TRUE),IF($C152="DUCTED-INV",VLOOKUP($F152,'DX-Data'!$F$12:$J$18,5,TRUE),"CHOOSE AC TYPE")))),"NO SELECTION")</f>
        <v>CHOOSE AC TYPE</v>
      </c>
      <c r="AI152" s="76" t="str">
        <f>IF($G$9=TRUE,IF($C152="DUCTED",VLOOKUP($G152,'DX-Data'!$H$5:$J$11,3,TRUE),IF($C152="DECORATIVE",VLOOKUP($G152,'DX-Data'!$H$19:$J$23,3,TRUE),IF($C152="PACKAGED",VLOOKUP($G152,'DX-Data'!$H$24:$J$30,3,TRUE),IF($C152="DUCTED-INV",VLOOKUP($G152,'DX-Data'!$H$12:$J$18,3,TRUE),"CHOOSE AC TYPE")))),"NO SELECTION")</f>
        <v>NO SELECTION</v>
      </c>
      <c r="AJ152" s="77" t="str">
        <f>IF($E152="","",IF($C152="DUCTED",VLOOKUP($E152,'DX-Data'!$D$5:$J$11,6,TRUE),IF($C152="DECORATIVE",VLOOKUP($E152,'DX-Data'!$D$19:$J$23,6,TRUE),IF($C152="PACKAGED",VLOOKUP($E152,'DX-Data'!$D$24:$J$30,6,TRUE),IF($C152="DUCTED-INV",VLOOKUP($E152,'DX-Data'!$D$12:$J$18,6,TRUE),0)))))</f>
        <v/>
      </c>
      <c r="AK152" s="77" t="str">
        <f>IF($F$9=TRUE,IF($C152="DUCTED",VLOOKUP($F152,'DX-Data'!$F$5:$J$11,4,TRUE),IF($C152="DECORATIVE",VLOOKUP($F152,'DX-Data'!$F$19:$J$23,4,TRUE),IF($C152="PACKAGED",VLOOKUP($F152,'DX-Data'!$F$24:$J$30,4,TRUE),IF($C152="DUCTED-INV",VLOOKUP($F152,'DX-Data'!$F$12:$J$18,4,TRUE),"CHOOSE AC TYPE")))),0)</f>
        <v>CHOOSE AC TYPE</v>
      </c>
      <c r="AL152" s="77">
        <f>IF($G$9=TRUE,IF($C152="DUCTED",VLOOKUP($G152,'DX-Data'!$H$5:$J$11,2,TRUE),IF($C152="DECORATIVE",VLOOKUP($G152,'DX-Data'!$H$19:$J$23,2,TRUE),IF($C152="PACKAGED",VLOOKUP($G152,'DX-Data'!$H$24:$J$30,2,TRUE),IF($C152="DUCTED-INV",VLOOKUP($G152,'DX-Data'!$H$12:$J$18,2,TRUE),"CHOOSE AC TYPE")))),0)</f>
        <v>0</v>
      </c>
      <c r="AM152" s="77">
        <f t="shared" si="11"/>
        <v>0</v>
      </c>
      <c r="AN152" s="76" t="str">
        <f>IF(E152="","",VLOOKUP($AM152,'DX-Data'!$I$5:$J$31,2,FALSE))</f>
        <v/>
      </c>
      <c r="AO152" s="77" t="str">
        <f t="shared" si="12"/>
        <v/>
      </c>
    </row>
    <row r="153" spans="2:41" hidden="1" x14ac:dyDescent="0.3">
      <c r="B153" s="71"/>
      <c r="C153" s="26"/>
      <c r="D153" s="27"/>
      <c r="E153" s="26"/>
      <c r="F153" s="26"/>
      <c r="G153" s="82"/>
      <c r="H153" s="74" t="str">
        <f t="shared" si="9"/>
        <v/>
      </c>
      <c r="I153" s="2" t="str">
        <f t="shared" si="10"/>
        <v/>
      </c>
      <c r="J153" s="21" t="str">
        <f>IF($H153="","",VLOOKUP($H153,Data!$C$6:$Y$29,2,FALSE))</f>
        <v/>
      </c>
      <c r="K153" s="2" t="str">
        <f>IF($H153="","",VLOOKUP($H153,Data!$C$6:$Y$29,3,FALSE))</f>
        <v/>
      </c>
      <c r="L153" s="2" t="str">
        <f>IF($H153="","",VLOOKUP($H153,Data!$C$6:$Y$29,4,FALSE))</f>
        <v/>
      </c>
      <c r="M153" s="2" t="str">
        <f>IF($H153="","",VLOOKUP($H153,Data!$C$6:$Y$29,5,FALSE))</f>
        <v/>
      </c>
      <c r="N153" s="2" t="str">
        <f>IF($H153="","",VLOOKUP($H153,Data!$C$6:$Y$29,6,FALSE))</f>
        <v/>
      </c>
      <c r="O153" s="2" t="str">
        <f>IF($H153="","",VLOOKUP($H153,Data!$C$6:$Y$29,7,FALSE))</f>
        <v/>
      </c>
      <c r="P153" s="2" t="str">
        <f>IF($H153="","",VLOOKUP($H153,Data!$C$6:$Y$29,8,FALSE))</f>
        <v/>
      </c>
      <c r="Q153" s="2" t="str">
        <f>IF($H153="","",VLOOKUP($H153,Data!$C$6:$Y$29,9,FALSE))</f>
        <v/>
      </c>
      <c r="R153" s="2" t="str">
        <f>IF($H153="","",VLOOKUP($H153,Data!$C$6:$Y$29,10,FALSE))</f>
        <v/>
      </c>
      <c r="S153" s="2" t="str">
        <f>IF($H153="","",VLOOKUP($H153,Data!$C$6:$Y$29,11,FALSE))</f>
        <v/>
      </c>
      <c r="T153" s="2" t="str">
        <f>IF($H153="","",VLOOKUP($H153,Data!$C$6:$Y$29,12,FALSE))</f>
        <v/>
      </c>
      <c r="U153" s="2" t="str">
        <f>IF($H153="","",VLOOKUP($H153,Data!$C$6:$Y$29,13,FALSE))</f>
        <v/>
      </c>
      <c r="V153" s="2" t="str">
        <f>IF($H153="","",VLOOKUP($H153,Data!$C$6:$Y$29,14,FALSE))</f>
        <v/>
      </c>
      <c r="W153" s="2" t="str">
        <f>IF($H153="","",VLOOKUP($H153,Data!$C$6:$Y$29,15,FALSE))</f>
        <v/>
      </c>
      <c r="X153" s="2" t="str">
        <f>IF($H153="","",VLOOKUP($H153,Data!$C$6:$Y$29,16,FALSE))</f>
        <v/>
      </c>
      <c r="Y153" s="2" t="str">
        <f>IF($H153="","",VLOOKUP($H153,Data!$C$6:$Y$29,17,FALSE))</f>
        <v/>
      </c>
      <c r="Z153" s="2" t="str">
        <f>IF($H153="","",VLOOKUP($H153,Data!$C$6:$Y$29,18,FALSE))</f>
        <v/>
      </c>
      <c r="AA153" s="2" t="str">
        <f>IF($H153="","",VLOOKUP($H153,Data!$C$6:$Y$29,19,FALSE))</f>
        <v/>
      </c>
      <c r="AB153" s="2" t="str">
        <f>IF($H153="","",VLOOKUP($H153,Data!$C$6:$Y$29,20,FALSE))</f>
        <v/>
      </c>
      <c r="AC153" s="2" t="str">
        <f>IF($H153="","",VLOOKUP($H153,Data!$C$6:$Y$29,21,FALSE))</f>
        <v/>
      </c>
      <c r="AD153" s="2" t="str">
        <f>IF($H153="","",VLOOKUP($H153,Data!$C$6:$Y$29,22,FALSE))</f>
        <v/>
      </c>
      <c r="AE153" s="3" t="str">
        <f>IF($H153="","",VLOOKUP($H153,Data!$C$6:$Y$29,23,FALSE))</f>
        <v/>
      </c>
      <c r="AG153" s="76" t="str">
        <f>IF($E153="","",IF($C153="DUCTED",VLOOKUP($E153,'DX-Data'!$D$5:$J$11,7,TRUE),IF($C153="DECORATIVE",VLOOKUP($E153,'DX-Data'!$D$19:$J$23,7,TRUE),IF($C153="PACKAGED",VLOOKUP($E153,'DX-Data'!$D$24:$J$30,7,TRUE),IF($C153="DUCTED-INV",VLOOKUP($E153,'DX-Data'!$D$12:$J$18,7,TRUE),"CHOOSE AC TYPE")))))</f>
        <v/>
      </c>
      <c r="AH153" s="76" t="str">
        <f>IF($F$9=TRUE,IF($C153="DUCTED",VLOOKUP($F153,'DX-Data'!$F$5:$J$11,5,TRUE),IF($C153="DECORATIVE",VLOOKUP($F153,'DX-Data'!$F$19:$J$23,5,TRUE),IF($C153="PACKAGED",VLOOKUP($F153,'DX-Data'!$F$24:$J$30,5,TRUE),IF($C153="DUCTED-INV",VLOOKUP($F153,'DX-Data'!$F$12:$J$18,5,TRUE),"CHOOSE AC TYPE")))),"NO SELECTION")</f>
        <v>CHOOSE AC TYPE</v>
      </c>
      <c r="AI153" s="76" t="str">
        <f>IF($G$9=TRUE,IF($C153="DUCTED",VLOOKUP($G153,'DX-Data'!$H$5:$J$11,3,TRUE),IF($C153="DECORATIVE",VLOOKUP($G153,'DX-Data'!$H$19:$J$23,3,TRUE),IF($C153="PACKAGED",VLOOKUP($G153,'DX-Data'!$H$24:$J$30,3,TRUE),IF($C153="DUCTED-INV",VLOOKUP($G153,'DX-Data'!$H$12:$J$18,3,TRUE),"CHOOSE AC TYPE")))),"NO SELECTION")</f>
        <v>NO SELECTION</v>
      </c>
      <c r="AJ153" s="77" t="str">
        <f>IF($E153="","",IF($C153="DUCTED",VLOOKUP($E153,'DX-Data'!$D$5:$J$11,6,TRUE),IF($C153="DECORATIVE",VLOOKUP($E153,'DX-Data'!$D$19:$J$23,6,TRUE),IF($C153="PACKAGED",VLOOKUP($E153,'DX-Data'!$D$24:$J$30,6,TRUE),IF($C153="DUCTED-INV",VLOOKUP($E153,'DX-Data'!$D$12:$J$18,6,TRUE),0)))))</f>
        <v/>
      </c>
      <c r="AK153" s="77" t="str">
        <f>IF($F$9=TRUE,IF($C153="DUCTED",VLOOKUP($F153,'DX-Data'!$F$5:$J$11,4,TRUE),IF($C153="DECORATIVE",VLOOKUP($F153,'DX-Data'!$F$19:$J$23,4,TRUE),IF($C153="PACKAGED",VLOOKUP($F153,'DX-Data'!$F$24:$J$30,4,TRUE),IF($C153="DUCTED-INV",VLOOKUP($F153,'DX-Data'!$F$12:$J$18,4,TRUE),"CHOOSE AC TYPE")))),0)</f>
        <v>CHOOSE AC TYPE</v>
      </c>
      <c r="AL153" s="77">
        <f>IF($G$9=TRUE,IF($C153="DUCTED",VLOOKUP($G153,'DX-Data'!$H$5:$J$11,2,TRUE),IF($C153="DECORATIVE",VLOOKUP($G153,'DX-Data'!$H$19:$J$23,2,TRUE),IF($C153="PACKAGED",VLOOKUP($G153,'DX-Data'!$H$24:$J$30,2,TRUE),IF($C153="DUCTED-INV",VLOOKUP($G153,'DX-Data'!$H$12:$J$18,2,TRUE),"CHOOSE AC TYPE")))),0)</f>
        <v>0</v>
      </c>
      <c r="AM153" s="77">
        <f t="shared" si="11"/>
        <v>0</v>
      </c>
      <c r="AN153" s="76" t="str">
        <f>IF(E153="","",VLOOKUP($AM153,'DX-Data'!$I$5:$J$31,2,FALSE))</f>
        <v/>
      </c>
      <c r="AO153" s="77" t="str">
        <f t="shared" si="12"/>
        <v/>
      </c>
    </row>
    <row r="154" spans="2:41" hidden="1" x14ac:dyDescent="0.3">
      <c r="B154" s="71"/>
      <c r="C154" s="26"/>
      <c r="D154" s="27"/>
      <c r="E154" s="26"/>
      <c r="F154" s="26"/>
      <c r="G154" s="82"/>
      <c r="H154" s="74" t="str">
        <f t="shared" ref="H154:H163" si="13">AN154</f>
        <v/>
      </c>
      <c r="I154" s="2" t="str">
        <f t="shared" ref="I154:I163" si="14">AO154</f>
        <v/>
      </c>
      <c r="J154" s="21" t="str">
        <f>IF($H154="","",VLOOKUP($H154,Data!$C$6:$Y$29,2,FALSE))</f>
        <v/>
      </c>
      <c r="K154" s="2" t="str">
        <f>IF($H154="","",VLOOKUP($H154,Data!$C$6:$Y$29,3,FALSE))</f>
        <v/>
      </c>
      <c r="L154" s="2" t="str">
        <f>IF($H154="","",VLOOKUP($H154,Data!$C$6:$Y$29,4,FALSE))</f>
        <v/>
      </c>
      <c r="M154" s="2" t="str">
        <f>IF($H154="","",VLOOKUP($H154,Data!$C$6:$Y$29,5,FALSE))</f>
        <v/>
      </c>
      <c r="N154" s="2" t="str">
        <f>IF($H154="","",VLOOKUP($H154,Data!$C$6:$Y$29,6,FALSE))</f>
        <v/>
      </c>
      <c r="O154" s="2" t="str">
        <f>IF($H154="","",VLOOKUP($H154,Data!$C$6:$Y$29,7,FALSE))</f>
        <v/>
      </c>
      <c r="P154" s="2" t="str">
        <f>IF($H154="","",VLOOKUP($H154,Data!$C$6:$Y$29,8,FALSE))</f>
        <v/>
      </c>
      <c r="Q154" s="2" t="str">
        <f>IF($H154="","",VLOOKUP($H154,Data!$C$6:$Y$29,9,FALSE))</f>
        <v/>
      </c>
      <c r="R154" s="2" t="str">
        <f>IF($H154="","",VLOOKUP($H154,Data!$C$6:$Y$29,10,FALSE))</f>
        <v/>
      </c>
      <c r="S154" s="2" t="str">
        <f>IF($H154="","",VLOOKUP($H154,Data!$C$6:$Y$29,11,FALSE))</f>
        <v/>
      </c>
      <c r="T154" s="2" t="str">
        <f>IF($H154="","",VLOOKUP($H154,Data!$C$6:$Y$29,12,FALSE))</f>
        <v/>
      </c>
      <c r="U154" s="2" t="str">
        <f>IF($H154="","",VLOOKUP($H154,Data!$C$6:$Y$29,13,FALSE))</f>
        <v/>
      </c>
      <c r="V154" s="2" t="str">
        <f>IF($H154="","",VLOOKUP($H154,Data!$C$6:$Y$29,14,FALSE))</f>
        <v/>
      </c>
      <c r="W154" s="2" t="str">
        <f>IF($H154="","",VLOOKUP($H154,Data!$C$6:$Y$29,15,FALSE))</f>
        <v/>
      </c>
      <c r="X154" s="2" t="str">
        <f>IF($H154="","",VLOOKUP($H154,Data!$C$6:$Y$29,16,FALSE))</f>
        <v/>
      </c>
      <c r="Y154" s="2" t="str">
        <f>IF($H154="","",VLOOKUP($H154,Data!$C$6:$Y$29,17,FALSE))</f>
        <v/>
      </c>
      <c r="Z154" s="2" t="str">
        <f>IF($H154="","",VLOOKUP($H154,Data!$C$6:$Y$29,18,FALSE))</f>
        <v/>
      </c>
      <c r="AA154" s="2" t="str">
        <f>IF($H154="","",VLOOKUP($H154,Data!$C$6:$Y$29,19,FALSE))</f>
        <v/>
      </c>
      <c r="AB154" s="2" t="str">
        <f>IF($H154="","",VLOOKUP($H154,Data!$C$6:$Y$29,20,FALSE))</f>
        <v/>
      </c>
      <c r="AC154" s="2" t="str">
        <f>IF($H154="","",VLOOKUP($H154,Data!$C$6:$Y$29,21,FALSE))</f>
        <v/>
      </c>
      <c r="AD154" s="2" t="str">
        <f>IF($H154="","",VLOOKUP($H154,Data!$C$6:$Y$29,22,FALSE))</f>
        <v/>
      </c>
      <c r="AE154" s="3" t="str">
        <f>IF($H154="","",VLOOKUP($H154,Data!$C$6:$Y$29,23,FALSE))</f>
        <v/>
      </c>
      <c r="AG154" s="76" t="str">
        <f>IF($E154="","",IF($C154="DUCTED",VLOOKUP($E154,'DX-Data'!$D$5:$J$11,7,TRUE),IF($C154="DECORATIVE",VLOOKUP($E154,'DX-Data'!$D$19:$J$23,7,TRUE),IF($C154="PACKAGED",VLOOKUP($E154,'DX-Data'!$D$24:$J$30,7,TRUE),IF($C154="DUCTED-INV",VLOOKUP($E154,'DX-Data'!$D$12:$J$18,7,TRUE),"CHOOSE AC TYPE")))))</f>
        <v/>
      </c>
      <c r="AH154" s="76" t="str">
        <f>IF($F$9=TRUE,IF($C154="DUCTED",VLOOKUP($F154,'DX-Data'!$F$5:$J$11,5,TRUE),IF($C154="DECORATIVE",VLOOKUP($F154,'DX-Data'!$F$19:$J$23,5,TRUE),IF($C154="PACKAGED",VLOOKUP($F154,'DX-Data'!$F$24:$J$30,5,TRUE),IF($C154="DUCTED-INV",VLOOKUP($F154,'DX-Data'!$F$12:$J$18,5,TRUE),"CHOOSE AC TYPE")))),"NO SELECTION")</f>
        <v>CHOOSE AC TYPE</v>
      </c>
      <c r="AI154" s="76" t="str">
        <f>IF($G$9=TRUE,IF($C154="DUCTED",VLOOKUP($G154,'DX-Data'!$H$5:$J$11,3,TRUE),IF($C154="DECORATIVE",VLOOKUP($G154,'DX-Data'!$H$19:$J$23,3,TRUE),IF($C154="PACKAGED",VLOOKUP($G154,'DX-Data'!$H$24:$J$30,3,TRUE),IF($C154="DUCTED-INV",VLOOKUP($G154,'DX-Data'!$H$12:$J$18,3,TRUE),"CHOOSE AC TYPE")))),"NO SELECTION")</f>
        <v>NO SELECTION</v>
      </c>
      <c r="AJ154" s="77" t="str">
        <f>IF($E154="","",IF($C154="DUCTED",VLOOKUP($E154,'DX-Data'!$D$5:$J$11,6,TRUE),IF($C154="DECORATIVE",VLOOKUP($E154,'DX-Data'!$D$19:$J$23,6,TRUE),IF($C154="PACKAGED",VLOOKUP($E154,'DX-Data'!$D$24:$J$30,6,TRUE),IF($C154="DUCTED-INV",VLOOKUP($E154,'DX-Data'!$D$12:$J$18,6,TRUE),0)))))</f>
        <v/>
      </c>
      <c r="AK154" s="77" t="str">
        <f>IF($F$9=TRUE,IF($C154="DUCTED",VLOOKUP($F154,'DX-Data'!$F$5:$J$11,4,TRUE),IF($C154="DECORATIVE",VLOOKUP($F154,'DX-Data'!$F$19:$J$23,4,TRUE),IF($C154="PACKAGED",VLOOKUP($F154,'DX-Data'!$F$24:$J$30,4,TRUE),IF($C154="DUCTED-INV",VLOOKUP($F154,'DX-Data'!$F$12:$J$18,4,TRUE),"CHOOSE AC TYPE")))),0)</f>
        <v>CHOOSE AC TYPE</v>
      </c>
      <c r="AL154" s="77">
        <f>IF($G$9=TRUE,IF($C154="DUCTED",VLOOKUP($G154,'DX-Data'!$H$5:$J$11,2,TRUE),IF($C154="DECORATIVE",VLOOKUP($G154,'DX-Data'!$H$19:$J$23,2,TRUE),IF($C154="PACKAGED",VLOOKUP($G154,'DX-Data'!$H$24:$J$30,2,TRUE),IF($C154="DUCTED-INV",VLOOKUP($G154,'DX-Data'!$H$12:$J$18,2,TRUE),"CHOOSE AC TYPE")))),0)</f>
        <v>0</v>
      </c>
      <c r="AM154" s="77">
        <f t="shared" ref="AM154:AM163" si="15">MAX(AJ154:AL154)</f>
        <v>0</v>
      </c>
      <c r="AN154" s="76" t="str">
        <f>IF(E154="","",VLOOKUP($AM154,'DX-Data'!$I$5:$J$31,2,FALSE))</f>
        <v/>
      </c>
      <c r="AO154" s="77" t="str">
        <f t="shared" ref="AO154:AO163" si="16">IF(OR(AN154="",AN154=0),"",1)</f>
        <v/>
      </c>
    </row>
    <row r="155" spans="2:41" hidden="1" x14ac:dyDescent="0.3">
      <c r="B155" s="71"/>
      <c r="C155" s="26"/>
      <c r="D155" s="27"/>
      <c r="E155" s="26"/>
      <c r="F155" s="26"/>
      <c r="G155" s="82"/>
      <c r="H155" s="74" t="str">
        <f t="shared" si="13"/>
        <v/>
      </c>
      <c r="I155" s="2" t="str">
        <f t="shared" si="14"/>
        <v/>
      </c>
      <c r="J155" s="21" t="str">
        <f>IF($H155="","",VLOOKUP($H155,Data!$C$6:$Y$29,2,FALSE))</f>
        <v/>
      </c>
      <c r="K155" s="2" t="str">
        <f>IF($H155="","",VLOOKUP($H155,Data!$C$6:$Y$29,3,FALSE))</f>
        <v/>
      </c>
      <c r="L155" s="2" t="str">
        <f>IF($H155="","",VLOOKUP($H155,Data!$C$6:$Y$29,4,FALSE))</f>
        <v/>
      </c>
      <c r="M155" s="2" t="str">
        <f>IF($H155="","",VLOOKUP($H155,Data!$C$6:$Y$29,5,FALSE))</f>
        <v/>
      </c>
      <c r="N155" s="2" t="str">
        <f>IF($H155="","",VLOOKUP($H155,Data!$C$6:$Y$29,6,FALSE))</f>
        <v/>
      </c>
      <c r="O155" s="2" t="str">
        <f>IF($H155="","",VLOOKUP($H155,Data!$C$6:$Y$29,7,FALSE))</f>
        <v/>
      </c>
      <c r="P155" s="2" t="str">
        <f>IF($H155="","",VLOOKUP($H155,Data!$C$6:$Y$29,8,FALSE))</f>
        <v/>
      </c>
      <c r="Q155" s="2" t="str">
        <f>IF($H155="","",VLOOKUP($H155,Data!$C$6:$Y$29,9,FALSE))</f>
        <v/>
      </c>
      <c r="R155" s="2" t="str">
        <f>IF($H155="","",VLOOKUP($H155,Data!$C$6:$Y$29,10,FALSE))</f>
        <v/>
      </c>
      <c r="S155" s="2" t="str">
        <f>IF($H155="","",VLOOKUP($H155,Data!$C$6:$Y$29,11,FALSE))</f>
        <v/>
      </c>
      <c r="T155" s="2" t="str">
        <f>IF($H155="","",VLOOKUP($H155,Data!$C$6:$Y$29,12,FALSE))</f>
        <v/>
      </c>
      <c r="U155" s="2" t="str">
        <f>IF($H155="","",VLOOKUP($H155,Data!$C$6:$Y$29,13,FALSE))</f>
        <v/>
      </c>
      <c r="V155" s="2" t="str">
        <f>IF($H155="","",VLOOKUP($H155,Data!$C$6:$Y$29,14,FALSE))</f>
        <v/>
      </c>
      <c r="W155" s="2" t="str">
        <f>IF($H155="","",VLOOKUP($H155,Data!$C$6:$Y$29,15,FALSE))</f>
        <v/>
      </c>
      <c r="X155" s="2" t="str">
        <f>IF($H155="","",VLOOKUP($H155,Data!$C$6:$Y$29,16,FALSE))</f>
        <v/>
      </c>
      <c r="Y155" s="2" t="str">
        <f>IF($H155="","",VLOOKUP($H155,Data!$C$6:$Y$29,17,FALSE))</f>
        <v/>
      </c>
      <c r="Z155" s="2" t="str">
        <f>IF($H155="","",VLOOKUP($H155,Data!$C$6:$Y$29,18,FALSE))</f>
        <v/>
      </c>
      <c r="AA155" s="2" t="str">
        <f>IF($H155="","",VLOOKUP($H155,Data!$C$6:$Y$29,19,FALSE))</f>
        <v/>
      </c>
      <c r="AB155" s="2" t="str">
        <f>IF($H155="","",VLOOKUP($H155,Data!$C$6:$Y$29,20,FALSE))</f>
        <v/>
      </c>
      <c r="AC155" s="2" t="str">
        <f>IF($H155="","",VLOOKUP($H155,Data!$C$6:$Y$29,21,FALSE))</f>
        <v/>
      </c>
      <c r="AD155" s="2" t="str">
        <f>IF($H155="","",VLOOKUP($H155,Data!$C$6:$Y$29,22,FALSE))</f>
        <v/>
      </c>
      <c r="AE155" s="3" t="str">
        <f>IF($H155="","",VLOOKUP($H155,Data!$C$6:$Y$29,23,FALSE))</f>
        <v/>
      </c>
      <c r="AG155" s="76" t="str">
        <f>IF($E155="","",IF($C155="DUCTED",VLOOKUP($E155,'DX-Data'!$D$5:$J$11,7,TRUE),IF($C155="DECORATIVE",VLOOKUP($E155,'DX-Data'!$D$19:$J$23,7,TRUE),IF($C155="PACKAGED",VLOOKUP($E155,'DX-Data'!$D$24:$J$30,7,TRUE),IF($C155="DUCTED-INV",VLOOKUP($E155,'DX-Data'!$D$12:$J$18,7,TRUE),"CHOOSE AC TYPE")))))</f>
        <v/>
      </c>
      <c r="AH155" s="76" t="str">
        <f>IF($F$9=TRUE,IF($C155="DUCTED",VLOOKUP($F155,'DX-Data'!$F$5:$J$11,5,TRUE),IF($C155="DECORATIVE",VLOOKUP($F155,'DX-Data'!$F$19:$J$23,5,TRUE),IF($C155="PACKAGED",VLOOKUP($F155,'DX-Data'!$F$24:$J$30,5,TRUE),IF($C155="DUCTED-INV",VLOOKUP($F155,'DX-Data'!$F$12:$J$18,5,TRUE),"CHOOSE AC TYPE")))),"NO SELECTION")</f>
        <v>CHOOSE AC TYPE</v>
      </c>
      <c r="AI155" s="76" t="str">
        <f>IF($G$9=TRUE,IF($C155="DUCTED",VLOOKUP($G155,'DX-Data'!$H$5:$J$11,3,TRUE),IF($C155="DECORATIVE",VLOOKUP($G155,'DX-Data'!$H$19:$J$23,3,TRUE),IF($C155="PACKAGED",VLOOKUP($G155,'DX-Data'!$H$24:$J$30,3,TRUE),IF($C155="DUCTED-INV",VLOOKUP($G155,'DX-Data'!$H$12:$J$18,3,TRUE),"CHOOSE AC TYPE")))),"NO SELECTION")</f>
        <v>NO SELECTION</v>
      </c>
      <c r="AJ155" s="77" t="str">
        <f>IF($E155="","",IF($C155="DUCTED",VLOOKUP($E155,'DX-Data'!$D$5:$J$11,6,TRUE),IF($C155="DECORATIVE",VLOOKUP($E155,'DX-Data'!$D$19:$J$23,6,TRUE),IF($C155="PACKAGED",VLOOKUP($E155,'DX-Data'!$D$24:$J$30,6,TRUE),IF($C155="DUCTED-INV",VLOOKUP($E155,'DX-Data'!$D$12:$J$18,6,TRUE),0)))))</f>
        <v/>
      </c>
      <c r="AK155" s="77" t="str">
        <f>IF($F$9=TRUE,IF($C155="DUCTED",VLOOKUP($F155,'DX-Data'!$F$5:$J$11,4,TRUE),IF($C155="DECORATIVE",VLOOKUP($F155,'DX-Data'!$F$19:$J$23,4,TRUE),IF($C155="PACKAGED",VLOOKUP($F155,'DX-Data'!$F$24:$J$30,4,TRUE),IF($C155="DUCTED-INV",VLOOKUP($F155,'DX-Data'!$F$12:$J$18,4,TRUE),"CHOOSE AC TYPE")))),0)</f>
        <v>CHOOSE AC TYPE</v>
      </c>
      <c r="AL155" s="77">
        <f>IF($G$9=TRUE,IF($C155="DUCTED",VLOOKUP($G155,'DX-Data'!$H$5:$J$11,2,TRUE),IF($C155="DECORATIVE",VLOOKUP($G155,'DX-Data'!$H$19:$J$23,2,TRUE),IF($C155="PACKAGED",VLOOKUP($G155,'DX-Data'!$H$24:$J$30,2,TRUE),IF($C155="DUCTED-INV",VLOOKUP($G155,'DX-Data'!$H$12:$J$18,2,TRUE),"CHOOSE AC TYPE")))),0)</f>
        <v>0</v>
      </c>
      <c r="AM155" s="77">
        <f t="shared" si="15"/>
        <v>0</v>
      </c>
      <c r="AN155" s="76" t="str">
        <f>IF(E155="","",VLOOKUP($AM155,'DX-Data'!$I$5:$J$31,2,FALSE))</f>
        <v/>
      </c>
      <c r="AO155" s="77" t="str">
        <f t="shared" si="16"/>
        <v/>
      </c>
    </row>
    <row r="156" spans="2:41" hidden="1" x14ac:dyDescent="0.3">
      <c r="B156" s="71"/>
      <c r="C156" s="26"/>
      <c r="D156" s="27"/>
      <c r="E156" s="26"/>
      <c r="F156" s="26"/>
      <c r="G156" s="82"/>
      <c r="H156" s="74" t="str">
        <f t="shared" si="13"/>
        <v/>
      </c>
      <c r="I156" s="2" t="str">
        <f t="shared" si="14"/>
        <v/>
      </c>
      <c r="J156" s="21" t="str">
        <f>IF($H156="","",VLOOKUP($H156,Data!$C$6:$Y$29,2,FALSE))</f>
        <v/>
      </c>
      <c r="K156" s="2" t="str">
        <f>IF($H156="","",VLOOKUP($H156,Data!$C$6:$Y$29,3,FALSE))</f>
        <v/>
      </c>
      <c r="L156" s="2" t="str">
        <f>IF($H156="","",VLOOKUP($H156,Data!$C$6:$Y$29,4,FALSE))</f>
        <v/>
      </c>
      <c r="M156" s="2" t="str">
        <f>IF($H156="","",VLOOKUP($H156,Data!$C$6:$Y$29,5,FALSE))</f>
        <v/>
      </c>
      <c r="N156" s="2" t="str">
        <f>IF($H156="","",VLOOKUP($H156,Data!$C$6:$Y$29,6,FALSE))</f>
        <v/>
      </c>
      <c r="O156" s="2" t="str">
        <f>IF($H156="","",VLOOKUP($H156,Data!$C$6:$Y$29,7,FALSE))</f>
        <v/>
      </c>
      <c r="P156" s="2" t="str">
        <f>IF($H156="","",VLOOKUP($H156,Data!$C$6:$Y$29,8,FALSE))</f>
        <v/>
      </c>
      <c r="Q156" s="2" t="str">
        <f>IF($H156="","",VLOOKUP($H156,Data!$C$6:$Y$29,9,FALSE))</f>
        <v/>
      </c>
      <c r="R156" s="2" t="str">
        <f>IF($H156="","",VLOOKUP($H156,Data!$C$6:$Y$29,10,FALSE))</f>
        <v/>
      </c>
      <c r="S156" s="2" t="str">
        <f>IF($H156="","",VLOOKUP($H156,Data!$C$6:$Y$29,11,FALSE))</f>
        <v/>
      </c>
      <c r="T156" s="2" t="str">
        <f>IF($H156="","",VLOOKUP($H156,Data!$C$6:$Y$29,12,FALSE))</f>
        <v/>
      </c>
      <c r="U156" s="2" t="str">
        <f>IF($H156="","",VLOOKUP($H156,Data!$C$6:$Y$29,13,FALSE))</f>
        <v/>
      </c>
      <c r="V156" s="2" t="str">
        <f>IF($H156="","",VLOOKUP($H156,Data!$C$6:$Y$29,14,FALSE))</f>
        <v/>
      </c>
      <c r="W156" s="2" t="str">
        <f>IF($H156="","",VLOOKUP($H156,Data!$C$6:$Y$29,15,FALSE))</f>
        <v/>
      </c>
      <c r="X156" s="2" t="str">
        <f>IF($H156="","",VLOOKUP($H156,Data!$C$6:$Y$29,16,FALSE))</f>
        <v/>
      </c>
      <c r="Y156" s="2" t="str">
        <f>IF($H156="","",VLOOKUP($H156,Data!$C$6:$Y$29,17,FALSE))</f>
        <v/>
      </c>
      <c r="Z156" s="2" t="str">
        <f>IF($H156="","",VLOOKUP($H156,Data!$C$6:$Y$29,18,FALSE))</f>
        <v/>
      </c>
      <c r="AA156" s="2" t="str">
        <f>IF($H156="","",VLOOKUP($H156,Data!$C$6:$Y$29,19,FALSE))</f>
        <v/>
      </c>
      <c r="AB156" s="2" t="str">
        <f>IF($H156="","",VLOOKUP($H156,Data!$C$6:$Y$29,20,FALSE))</f>
        <v/>
      </c>
      <c r="AC156" s="2" t="str">
        <f>IF($H156="","",VLOOKUP($H156,Data!$C$6:$Y$29,21,FALSE))</f>
        <v/>
      </c>
      <c r="AD156" s="2" t="str">
        <f>IF($H156="","",VLOOKUP($H156,Data!$C$6:$Y$29,22,FALSE))</f>
        <v/>
      </c>
      <c r="AE156" s="3" t="str">
        <f>IF($H156="","",VLOOKUP($H156,Data!$C$6:$Y$29,23,FALSE))</f>
        <v/>
      </c>
      <c r="AG156" s="76" t="str">
        <f>IF($E156="","",IF($C156="DUCTED",VLOOKUP($E156,'DX-Data'!$D$5:$J$11,7,TRUE),IF($C156="DECORATIVE",VLOOKUP($E156,'DX-Data'!$D$19:$J$23,7,TRUE),IF($C156="PACKAGED",VLOOKUP($E156,'DX-Data'!$D$24:$J$30,7,TRUE),IF($C156="DUCTED-INV",VLOOKUP($E156,'DX-Data'!$D$12:$J$18,7,TRUE),"CHOOSE AC TYPE")))))</f>
        <v/>
      </c>
      <c r="AH156" s="76" t="str">
        <f>IF($F$9=TRUE,IF($C156="DUCTED",VLOOKUP($F156,'DX-Data'!$F$5:$J$11,5,TRUE),IF($C156="DECORATIVE",VLOOKUP($F156,'DX-Data'!$F$19:$J$23,5,TRUE),IF($C156="PACKAGED",VLOOKUP($F156,'DX-Data'!$F$24:$J$30,5,TRUE),IF($C156="DUCTED-INV",VLOOKUP($F156,'DX-Data'!$F$12:$J$18,5,TRUE),"CHOOSE AC TYPE")))),"NO SELECTION")</f>
        <v>CHOOSE AC TYPE</v>
      </c>
      <c r="AI156" s="76" t="str">
        <f>IF($G$9=TRUE,IF($C156="DUCTED",VLOOKUP($G156,'DX-Data'!$H$5:$J$11,3,TRUE),IF($C156="DECORATIVE",VLOOKUP($G156,'DX-Data'!$H$19:$J$23,3,TRUE),IF($C156="PACKAGED",VLOOKUP($G156,'DX-Data'!$H$24:$J$30,3,TRUE),IF($C156="DUCTED-INV",VLOOKUP($G156,'DX-Data'!$H$12:$J$18,3,TRUE),"CHOOSE AC TYPE")))),"NO SELECTION")</f>
        <v>NO SELECTION</v>
      </c>
      <c r="AJ156" s="77" t="str">
        <f>IF($E156="","",IF($C156="DUCTED",VLOOKUP($E156,'DX-Data'!$D$5:$J$11,6,TRUE),IF($C156="DECORATIVE",VLOOKUP($E156,'DX-Data'!$D$19:$J$23,6,TRUE),IF($C156="PACKAGED",VLOOKUP($E156,'DX-Data'!$D$24:$J$30,6,TRUE),IF($C156="DUCTED-INV",VLOOKUP($E156,'DX-Data'!$D$12:$J$18,6,TRUE),0)))))</f>
        <v/>
      </c>
      <c r="AK156" s="77" t="str">
        <f>IF($F$9=TRUE,IF($C156="DUCTED",VLOOKUP($F156,'DX-Data'!$F$5:$J$11,4,TRUE),IF($C156="DECORATIVE",VLOOKUP($F156,'DX-Data'!$F$19:$J$23,4,TRUE),IF($C156="PACKAGED",VLOOKUP($F156,'DX-Data'!$F$24:$J$30,4,TRUE),IF($C156="DUCTED-INV",VLOOKUP($F156,'DX-Data'!$F$12:$J$18,4,TRUE),"CHOOSE AC TYPE")))),0)</f>
        <v>CHOOSE AC TYPE</v>
      </c>
      <c r="AL156" s="77">
        <f>IF($G$9=TRUE,IF($C156="DUCTED",VLOOKUP($G156,'DX-Data'!$H$5:$J$11,2,TRUE),IF($C156="DECORATIVE",VLOOKUP($G156,'DX-Data'!$H$19:$J$23,2,TRUE),IF($C156="PACKAGED",VLOOKUP($G156,'DX-Data'!$H$24:$J$30,2,TRUE),IF($C156="DUCTED-INV",VLOOKUP($G156,'DX-Data'!$H$12:$J$18,2,TRUE),"CHOOSE AC TYPE")))),0)</f>
        <v>0</v>
      </c>
      <c r="AM156" s="77">
        <f t="shared" si="15"/>
        <v>0</v>
      </c>
      <c r="AN156" s="76" t="str">
        <f>IF(E156="","",VLOOKUP($AM156,'DX-Data'!$I$5:$J$31,2,FALSE))</f>
        <v/>
      </c>
      <c r="AO156" s="77" t="str">
        <f t="shared" si="16"/>
        <v/>
      </c>
    </row>
    <row r="157" spans="2:41" hidden="1" x14ac:dyDescent="0.3">
      <c r="B157" s="71"/>
      <c r="C157" s="26"/>
      <c r="D157" s="27"/>
      <c r="E157" s="26"/>
      <c r="F157" s="26"/>
      <c r="G157" s="82"/>
      <c r="H157" s="74" t="str">
        <f t="shared" si="13"/>
        <v/>
      </c>
      <c r="I157" s="2" t="str">
        <f t="shared" si="14"/>
        <v/>
      </c>
      <c r="J157" s="21" t="str">
        <f>IF($H157="","",VLOOKUP($H157,Data!$C$6:$Y$29,2,FALSE))</f>
        <v/>
      </c>
      <c r="K157" s="2" t="str">
        <f>IF($H157="","",VLOOKUP($H157,Data!$C$6:$Y$29,3,FALSE))</f>
        <v/>
      </c>
      <c r="L157" s="2" t="str">
        <f>IF($H157="","",VLOOKUP($H157,Data!$C$6:$Y$29,4,FALSE))</f>
        <v/>
      </c>
      <c r="M157" s="2" t="str">
        <f>IF($H157="","",VLOOKUP($H157,Data!$C$6:$Y$29,5,FALSE))</f>
        <v/>
      </c>
      <c r="N157" s="2" t="str">
        <f>IF($H157="","",VLOOKUP($H157,Data!$C$6:$Y$29,6,FALSE))</f>
        <v/>
      </c>
      <c r="O157" s="2" t="str">
        <f>IF($H157="","",VLOOKUP($H157,Data!$C$6:$Y$29,7,FALSE))</f>
        <v/>
      </c>
      <c r="P157" s="2" t="str">
        <f>IF($H157="","",VLOOKUP($H157,Data!$C$6:$Y$29,8,FALSE))</f>
        <v/>
      </c>
      <c r="Q157" s="2" t="str">
        <f>IF($H157="","",VLOOKUP($H157,Data!$C$6:$Y$29,9,FALSE))</f>
        <v/>
      </c>
      <c r="R157" s="2" t="str">
        <f>IF($H157="","",VLOOKUP($H157,Data!$C$6:$Y$29,10,FALSE))</f>
        <v/>
      </c>
      <c r="S157" s="2" t="str">
        <f>IF($H157="","",VLOOKUP($H157,Data!$C$6:$Y$29,11,FALSE))</f>
        <v/>
      </c>
      <c r="T157" s="2" t="str">
        <f>IF($H157="","",VLOOKUP($H157,Data!$C$6:$Y$29,12,FALSE))</f>
        <v/>
      </c>
      <c r="U157" s="2" t="str">
        <f>IF($H157="","",VLOOKUP($H157,Data!$C$6:$Y$29,13,FALSE))</f>
        <v/>
      </c>
      <c r="V157" s="2" t="str">
        <f>IF($H157="","",VLOOKUP($H157,Data!$C$6:$Y$29,14,FALSE))</f>
        <v/>
      </c>
      <c r="W157" s="2" t="str">
        <f>IF($H157="","",VLOOKUP($H157,Data!$C$6:$Y$29,15,FALSE))</f>
        <v/>
      </c>
      <c r="X157" s="2" t="str">
        <f>IF($H157="","",VLOOKUP($H157,Data!$C$6:$Y$29,16,FALSE))</f>
        <v/>
      </c>
      <c r="Y157" s="2" t="str">
        <f>IF($H157="","",VLOOKUP($H157,Data!$C$6:$Y$29,17,FALSE))</f>
        <v/>
      </c>
      <c r="Z157" s="2" t="str">
        <f>IF($H157="","",VLOOKUP($H157,Data!$C$6:$Y$29,18,FALSE))</f>
        <v/>
      </c>
      <c r="AA157" s="2" t="str">
        <f>IF($H157="","",VLOOKUP($H157,Data!$C$6:$Y$29,19,FALSE))</f>
        <v/>
      </c>
      <c r="AB157" s="2" t="str">
        <f>IF($H157="","",VLOOKUP($H157,Data!$C$6:$Y$29,20,FALSE))</f>
        <v/>
      </c>
      <c r="AC157" s="2" t="str">
        <f>IF($H157="","",VLOOKUP($H157,Data!$C$6:$Y$29,21,FALSE))</f>
        <v/>
      </c>
      <c r="AD157" s="2" t="str">
        <f>IF($H157="","",VLOOKUP($H157,Data!$C$6:$Y$29,22,FALSE))</f>
        <v/>
      </c>
      <c r="AE157" s="3" t="str">
        <f>IF($H157="","",VLOOKUP($H157,Data!$C$6:$Y$29,23,FALSE))</f>
        <v/>
      </c>
      <c r="AG157" s="76" t="str">
        <f>IF($E157="","",IF($C157="DUCTED",VLOOKUP($E157,'DX-Data'!$D$5:$J$11,7,TRUE),IF($C157="DECORATIVE",VLOOKUP($E157,'DX-Data'!$D$19:$J$23,7,TRUE),IF($C157="PACKAGED",VLOOKUP($E157,'DX-Data'!$D$24:$J$30,7,TRUE),IF($C157="DUCTED-INV",VLOOKUP($E157,'DX-Data'!$D$12:$J$18,7,TRUE),"CHOOSE AC TYPE")))))</f>
        <v/>
      </c>
      <c r="AH157" s="76" t="str">
        <f>IF($F$9=TRUE,IF($C157="DUCTED",VLOOKUP($F157,'DX-Data'!$F$5:$J$11,5,TRUE),IF($C157="DECORATIVE",VLOOKUP($F157,'DX-Data'!$F$19:$J$23,5,TRUE),IF($C157="PACKAGED",VLOOKUP($F157,'DX-Data'!$F$24:$J$30,5,TRUE),IF($C157="DUCTED-INV",VLOOKUP($F157,'DX-Data'!$F$12:$J$18,5,TRUE),"CHOOSE AC TYPE")))),"NO SELECTION")</f>
        <v>CHOOSE AC TYPE</v>
      </c>
      <c r="AI157" s="76" t="str">
        <f>IF($G$9=TRUE,IF($C157="DUCTED",VLOOKUP($G157,'DX-Data'!$H$5:$J$11,3,TRUE),IF($C157="DECORATIVE",VLOOKUP($G157,'DX-Data'!$H$19:$J$23,3,TRUE),IF($C157="PACKAGED",VLOOKUP($G157,'DX-Data'!$H$24:$J$30,3,TRUE),IF($C157="DUCTED-INV",VLOOKUP($G157,'DX-Data'!$H$12:$J$18,3,TRUE),"CHOOSE AC TYPE")))),"NO SELECTION")</f>
        <v>NO SELECTION</v>
      </c>
      <c r="AJ157" s="77" t="str">
        <f>IF($E157="","",IF($C157="DUCTED",VLOOKUP($E157,'DX-Data'!$D$5:$J$11,6,TRUE),IF($C157="DECORATIVE",VLOOKUP($E157,'DX-Data'!$D$19:$J$23,6,TRUE),IF($C157="PACKAGED",VLOOKUP($E157,'DX-Data'!$D$24:$J$30,6,TRUE),IF($C157="DUCTED-INV",VLOOKUP($E157,'DX-Data'!$D$12:$J$18,6,TRUE),0)))))</f>
        <v/>
      </c>
      <c r="AK157" s="77" t="str">
        <f>IF($F$9=TRUE,IF($C157="DUCTED",VLOOKUP($F157,'DX-Data'!$F$5:$J$11,4,TRUE),IF($C157="DECORATIVE",VLOOKUP($F157,'DX-Data'!$F$19:$J$23,4,TRUE),IF($C157="PACKAGED",VLOOKUP($F157,'DX-Data'!$F$24:$J$30,4,TRUE),IF($C157="DUCTED-INV",VLOOKUP($F157,'DX-Data'!$F$12:$J$18,4,TRUE),"CHOOSE AC TYPE")))),0)</f>
        <v>CHOOSE AC TYPE</v>
      </c>
      <c r="AL157" s="77">
        <f>IF($G$9=TRUE,IF($C157="DUCTED",VLOOKUP($G157,'DX-Data'!$H$5:$J$11,2,TRUE),IF($C157="DECORATIVE",VLOOKUP($G157,'DX-Data'!$H$19:$J$23,2,TRUE),IF($C157="PACKAGED",VLOOKUP($G157,'DX-Data'!$H$24:$J$30,2,TRUE),IF($C157="DUCTED-INV",VLOOKUP($G157,'DX-Data'!$H$12:$J$18,2,TRUE),"CHOOSE AC TYPE")))),0)</f>
        <v>0</v>
      </c>
      <c r="AM157" s="77">
        <f t="shared" si="15"/>
        <v>0</v>
      </c>
      <c r="AN157" s="76" t="str">
        <f>IF(E157="","",VLOOKUP($AM157,'DX-Data'!$I$5:$J$31,2,FALSE))</f>
        <v/>
      </c>
      <c r="AO157" s="77" t="str">
        <f t="shared" si="16"/>
        <v/>
      </c>
    </row>
    <row r="158" spans="2:41" hidden="1" x14ac:dyDescent="0.3">
      <c r="B158" s="71"/>
      <c r="C158" s="26"/>
      <c r="D158" s="27"/>
      <c r="E158" s="26"/>
      <c r="F158" s="26"/>
      <c r="G158" s="82"/>
      <c r="H158" s="74" t="str">
        <f t="shared" si="13"/>
        <v/>
      </c>
      <c r="I158" s="2" t="str">
        <f t="shared" si="14"/>
        <v/>
      </c>
      <c r="J158" s="21" t="str">
        <f>IF($H158="","",VLOOKUP($H158,Data!$C$6:$Y$29,2,FALSE))</f>
        <v/>
      </c>
      <c r="K158" s="2" t="str">
        <f>IF($H158="","",VLOOKUP($H158,Data!$C$6:$Y$29,3,FALSE))</f>
        <v/>
      </c>
      <c r="L158" s="2" t="str">
        <f>IF($H158="","",VLOOKUP($H158,Data!$C$6:$Y$29,4,FALSE))</f>
        <v/>
      </c>
      <c r="M158" s="2" t="str">
        <f>IF($H158="","",VLOOKUP($H158,Data!$C$6:$Y$29,5,FALSE))</f>
        <v/>
      </c>
      <c r="N158" s="2" t="str">
        <f>IF($H158="","",VLOOKUP($H158,Data!$C$6:$Y$29,6,FALSE))</f>
        <v/>
      </c>
      <c r="O158" s="2" t="str">
        <f>IF($H158="","",VLOOKUP($H158,Data!$C$6:$Y$29,7,FALSE))</f>
        <v/>
      </c>
      <c r="P158" s="2" t="str">
        <f>IF($H158="","",VLOOKUP($H158,Data!$C$6:$Y$29,8,FALSE))</f>
        <v/>
      </c>
      <c r="Q158" s="2" t="str">
        <f>IF($H158="","",VLOOKUP($H158,Data!$C$6:$Y$29,9,FALSE))</f>
        <v/>
      </c>
      <c r="R158" s="2" t="str">
        <f>IF($H158="","",VLOOKUP($H158,Data!$C$6:$Y$29,10,FALSE))</f>
        <v/>
      </c>
      <c r="S158" s="2" t="str">
        <f>IF($H158="","",VLOOKUP($H158,Data!$C$6:$Y$29,11,FALSE))</f>
        <v/>
      </c>
      <c r="T158" s="2" t="str">
        <f>IF($H158="","",VLOOKUP($H158,Data!$C$6:$Y$29,12,FALSE))</f>
        <v/>
      </c>
      <c r="U158" s="2" t="str">
        <f>IF($H158="","",VLOOKUP($H158,Data!$C$6:$Y$29,13,FALSE))</f>
        <v/>
      </c>
      <c r="V158" s="2" t="str">
        <f>IF($H158="","",VLOOKUP($H158,Data!$C$6:$Y$29,14,FALSE))</f>
        <v/>
      </c>
      <c r="W158" s="2" t="str">
        <f>IF($H158="","",VLOOKUP($H158,Data!$C$6:$Y$29,15,FALSE))</f>
        <v/>
      </c>
      <c r="X158" s="2" t="str">
        <f>IF($H158="","",VLOOKUP($H158,Data!$C$6:$Y$29,16,FALSE))</f>
        <v/>
      </c>
      <c r="Y158" s="2" t="str">
        <f>IF($H158="","",VLOOKUP($H158,Data!$C$6:$Y$29,17,FALSE))</f>
        <v/>
      </c>
      <c r="Z158" s="2" t="str">
        <f>IF($H158="","",VLOOKUP($H158,Data!$C$6:$Y$29,18,FALSE))</f>
        <v/>
      </c>
      <c r="AA158" s="2" t="str">
        <f>IF($H158="","",VLOOKUP($H158,Data!$C$6:$Y$29,19,FALSE))</f>
        <v/>
      </c>
      <c r="AB158" s="2" t="str">
        <f>IF($H158="","",VLOOKUP($H158,Data!$C$6:$Y$29,20,FALSE))</f>
        <v/>
      </c>
      <c r="AC158" s="2" t="str">
        <f>IF($H158="","",VLOOKUP($H158,Data!$C$6:$Y$29,21,FALSE))</f>
        <v/>
      </c>
      <c r="AD158" s="2" t="str">
        <f>IF($H158="","",VLOOKUP($H158,Data!$C$6:$Y$29,22,FALSE))</f>
        <v/>
      </c>
      <c r="AE158" s="3" t="str">
        <f>IF($H158="","",VLOOKUP($H158,Data!$C$6:$Y$29,23,FALSE))</f>
        <v/>
      </c>
      <c r="AG158" s="76" t="str">
        <f>IF($E158="","",IF($C158="DUCTED",VLOOKUP($E158,'DX-Data'!$D$5:$J$11,7,TRUE),IF($C158="DECORATIVE",VLOOKUP($E158,'DX-Data'!$D$19:$J$23,7,TRUE),IF($C158="PACKAGED",VLOOKUP($E158,'DX-Data'!$D$24:$J$30,7,TRUE),IF($C158="DUCTED-INV",VLOOKUP($E158,'DX-Data'!$D$12:$J$18,7,TRUE),"CHOOSE AC TYPE")))))</f>
        <v/>
      </c>
      <c r="AH158" s="76" t="str">
        <f>IF($F$9=TRUE,IF($C158="DUCTED",VLOOKUP($F158,'DX-Data'!$F$5:$J$11,5,TRUE),IF($C158="DECORATIVE",VLOOKUP($F158,'DX-Data'!$F$19:$J$23,5,TRUE),IF($C158="PACKAGED",VLOOKUP($F158,'DX-Data'!$F$24:$J$30,5,TRUE),IF($C158="DUCTED-INV",VLOOKUP($F158,'DX-Data'!$F$12:$J$18,5,TRUE),"CHOOSE AC TYPE")))),"NO SELECTION")</f>
        <v>CHOOSE AC TYPE</v>
      </c>
      <c r="AI158" s="76" t="str">
        <f>IF($G$9=TRUE,IF($C158="DUCTED",VLOOKUP($G158,'DX-Data'!$H$5:$J$11,3,TRUE),IF($C158="DECORATIVE",VLOOKUP($G158,'DX-Data'!$H$19:$J$23,3,TRUE),IF($C158="PACKAGED",VLOOKUP($G158,'DX-Data'!$H$24:$J$30,3,TRUE),IF($C158="DUCTED-INV",VLOOKUP($G158,'DX-Data'!$H$12:$J$18,3,TRUE),"CHOOSE AC TYPE")))),"NO SELECTION")</f>
        <v>NO SELECTION</v>
      </c>
      <c r="AJ158" s="77" t="str">
        <f>IF($E158="","",IF($C158="DUCTED",VLOOKUP($E158,'DX-Data'!$D$5:$J$11,6,TRUE),IF($C158="DECORATIVE",VLOOKUP($E158,'DX-Data'!$D$19:$J$23,6,TRUE),IF($C158="PACKAGED",VLOOKUP($E158,'DX-Data'!$D$24:$J$30,6,TRUE),IF($C158="DUCTED-INV",VLOOKUP($E158,'DX-Data'!$D$12:$J$18,6,TRUE),0)))))</f>
        <v/>
      </c>
      <c r="AK158" s="77" t="str">
        <f>IF($F$9=TRUE,IF($C158="DUCTED",VLOOKUP($F158,'DX-Data'!$F$5:$J$11,4,TRUE),IF($C158="DECORATIVE",VLOOKUP($F158,'DX-Data'!$F$19:$J$23,4,TRUE),IF($C158="PACKAGED",VLOOKUP($F158,'DX-Data'!$F$24:$J$30,4,TRUE),IF($C158="DUCTED-INV",VLOOKUP($F158,'DX-Data'!$F$12:$J$18,4,TRUE),"CHOOSE AC TYPE")))),0)</f>
        <v>CHOOSE AC TYPE</v>
      </c>
      <c r="AL158" s="77">
        <f>IF($G$9=TRUE,IF($C158="DUCTED",VLOOKUP($G158,'DX-Data'!$H$5:$J$11,2,TRUE),IF($C158="DECORATIVE",VLOOKUP($G158,'DX-Data'!$H$19:$J$23,2,TRUE),IF($C158="PACKAGED",VLOOKUP($G158,'DX-Data'!$H$24:$J$30,2,TRUE),IF($C158="DUCTED-INV",VLOOKUP($G158,'DX-Data'!$H$12:$J$18,2,TRUE),"CHOOSE AC TYPE")))),0)</f>
        <v>0</v>
      </c>
      <c r="AM158" s="77">
        <f t="shared" si="15"/>
        <v>0</v>
      </c>
      <c r="AN158" s="76" t="str">
        <f>IF(E158="","",VLOOKUP($AM158,'DX-Data'!$I$5:$J$31,2,FALSE))</f>
        <v/>
      </c>
      <c r="AO158" s="77" t="str">
        <f t="shared" si="16"/>
        <v/>
      </c>
    </row>
    <row r="159" spans="2:41" hidden="1" x14ac:dyDescent="0.3">
      <c r="B159" s="71"/>
      <c r="C159" s="26"/>
      <c r="D159" s="27"/>
      <c r="E159" s="26"/>
      <c r="F159" s="26"/>
      <c r="G159" s="82"/>
      <c r="H159" s="74" t="str">
        <f t="shared" si="13"/>
        <v/>
      </c>
      <c r="I159" s="2" t="str">
        <f t="shared" si="14"/>
        <v/>
      </c>
      <c r="J159" s="21" t="str">
        <f>IF($H159="","",VLOOKUP($H159,Data!$C$6:$Y$29,2,FALSE))</f>
        <v/>
      </c>
      <c r="K159" s="2" t="str">
        <f>IF($H159="","",VLOOKUP($H159,Data!$C$6:$Y$29,3,FALSE))</f>
        <v/>
      </c>
      <c r="L159" s="2" t="str">
        <f>IF($H159="","",VLOOKUP($H159,Data!$C$6:$Y$29,4,FALSE))</f>
        <v/>
      </c>
      <c r="M159" s="2" t="str">
        <f>IF($H159="","",VLOOKUP($H159,Data!$C$6:$Y$29,5,FALSE))</f>
        <v/>
      </c>
      <c r="N159" s="2" t="str">
        <f>IF($H159="","",VLOOKUP($H159,Data!$C$6:$Y$29,6,FALSE))</f>
        <v/>
      </c>
      <c r="O159" s="2" t="str">
        <f>IF($H159="","",VLOOKUP($H159,Data!$C$6:$Y$29,7,FALSE))</f>
        <v/>
      </c>
      <c r="P159" s="2" t="str">
        <f>IF($H159="","",VLOOKUP($H159,Data!$C$6:$Y$29,8,FALSE))</f>
        <v/>
      </c>
      <c r="Q159" s="2" t="str">
        <f>IF($H159="","",VLOOKUP($H159,Data!$C$6:$Y$29,9,FALSE))</f>
        <v/>
      </c>
      <c r="R159" s="2" t="str">
        <f>IF($H159="","",VLOOKUP($H159,Data!$C$6:$Y$29,10,FALSE))</f>
        <v/>
      </c>
      <c r="S159" s="2" t="str">
        <f>IF($H159="","",VLOOKUP($H159,Data!$C$6:$Y$29,11,FALSE))</f>
        <v/>
      </c>
      <c r="T159" s="2" t="str">
        <f>IF($H159="","",VLOOKUP($H159,Data!$C$6:$Y$29,12,FALSE))</f>
        <v/>
      </c>
      <c r="U159" s="2" t="str">
        <f>IF($H159="","",VLOOKUP($H159,Data!$C$6:$Y$29,13,FALSE))</f>
        <v/>
      </c>
      <c r="V159" s="2" t="str">
        <f>IF($H159="","",VLOOKUP($H159,Data!$C$6:$Y$29,14,FALSE))</f>
        <v/>
      </c>
      <c r="W159" s="2" t="str">
        <f>IF($H159="","",VLOOKUP($H159,Data!$C$6:$Y$29,15,FALSE))</f>
        <v/>
      </c>
      <c r="X159" s="2" t="str">
        <f>IF($H159="","",VLOOKUP($H159,Data!$C$6:$Y$29,16,FALSE))</f>
        <v/>
      </c>
      <c r="Y159" s="2" t="str">
        <f>IF($H159="","",VLOOKUP($H159,Data!$C$6:$Y$29,17,FALSE))</f>
        <v/>
      </c>
      <c r="Z159" s="2" t="str">
        <f>IF($H159="","",VLOOKUP($H159,Data!$C$6:$Y$29,18,FALSE))</f>
        <v/>
      </c>
      <c r="AA159" s="2" t="str">
        <f>IF($H159="","",VLOOKUP($H159,Data!$C$6:$Y$29,19,FALSE))</f>
        <v/>
      </c>
      <c r="AB159" s="2" t="str">
        <f>IF($H159="","",VLOOKUP($H159,Data!$C$6:$Y$29,20,FALSE))</f>
        <v/>
      </c>
      <c r="AC159" s="2" t="str">
        <f>IF($H159="","",VLOOKUP($H159,Data!$C$6:$Y$29,21,FALSE))</f>
        <v/>
      </c>
      <c r="AD159" s="2" t="str">
        <f>IF($H159="","",VLOOKUP($H159,Data!$C$6:$Y$29,22,FALSE))</f>
        <v/>
      </c>
      <c r="AE159" s="3" t="str">
        <f>IF($H159="","",VLOOKUP($H159,Data!$C$6:$Y$29,23,FALSE))</f>
        <v/>
      </c>
      <c r="AG159" s="76" t="str">
        <f>IF($E159="","",IF($C159="DUCTED",VLOOKUP($E159,'DX-Data'!$D$5:$J$11,7,TRUE),IF($C159="DECORATIVE",VLOOKUP($E159,'DX-Data'!$D$19:$J$23,7,TRUE),IF($C159="PACKAGED",VLOOKUP($E159,'DX-Data'!$D$24:$J$30,7,TRUE),IF($C159="DUCTED-INV",VLOOKUP($E159,'DX-Data'!$D$12:$J$18,7,TRUE),"CHOOSE AC TYPE")))))</f>
        <v/>
      </c>
      <c r="AH159" s="76" t="str">
        <f>IF($F$9=TRUE,IF($C159="DUCTED",VLOOKUP($F159,'DX-Data'!$F$5:$J$11,5,TRUE),IF($C159="DECORATIVE",VLOOKUP($F159,'DX-Data'!$F$19:$J$23,5,TRUE),IF($C159="PACKAGED",VLOOKUP($F159,'DX-Data'!$F$24:$J$30,5,TRUE),IF($C159="DUCTED-INV",VLOOKUP($F159,'DX-Data'!$F$12:$J$18,5,TRUE),"CHOOSE AC TYPE")))),"NO SELECTION")</f>
        <v>CHOOSE AC TYPE</v>
      </c>
      <c r="AI159" s="76" t="str">
        <f>IF($G$9=TRUE,IF($C159="DUCTED",VLOOKUP($G159,'DX-Data'!$H$5:$J$11,3,TRUE),IF($C159="DECORATIVE",VLOOKUP($G159,'DX-Data'!$H$19:$J$23,3,TRUE),IF($C159="PACKAGED",VLOOKUP($G159,'DX-Data'!$H$24:$J$30,3,TRUE),IF($C159="DUCTED-INV",VLOOKUP($G159,'DX-Data'!$H$12:$J$18,3,TRUE),"CHOOSE AC TYPE")))),"NO SELECTION")</f>
        <v>NO SELECTION</v>
      </c>
      <c r="AJ159" s="77" t="str">
        <f>IF($E159="","",IF($C159="DUCTED",VLOOKUP($E159,'DX-Data'!$D$5:$J$11,6,TRUE),IF($C159="DECORATIVE",VLOOKUP($E159,'DX-Data'!$D$19:$J$23,6,TRUE),IF($C159="PACKAGED",VLOOKUP($E159,'DX-Data'!$D$24:$J$30,6,TRUE),IF($C159="DUCTED-INV",VLOOKUP($E159,'DX-Data'!$D$12:$J$18,6,TRUE),0)))))</f>
        <v/>
      </c>
      <c r="AK159" s="77" t="str">
        <f>IF($F$9=TRUE,IF($C159="DUCTED",VLOOKUP($F159,'DX-Data'!$F$5:$J$11,4,TRUE),IF($C159="DECORATIVE",VLOOKUP($F159,'DX-Data'!$F$19:$J$23,4,TRUE),IF($C159="PACKAGED",VLOOKUP($F159,'DX-Data'!$F$24:$J$30,4,TRUE),IF($C159="DUCTED-INV",VLOOKUP($F159,'DX-Data'!$F$12:$J$18,4,TRUE),"CHOOSE AC TYPE")))),0)</f>
        <v>CHOOSE AC TYPE</v>
      </c>
      <c r="AL159" s="77">
        <f>IF($G$9=TRUE,IF($C159="DUCTED",VLOOKUP($G159,'DX-Data'!$H$5:$J$11,2,TRUE),IF($C159="DECORATIVE",VLOOKUP($G159,'DX-Data'!$H$19:$J$23,2,TRUE),IF($C159="PACKAGED",VLOOKUP($G159,'DX-Data'!$H$24:$J$30,2,TRUE),IF($C159="DUCTED-INV",VLOOKUP($G159,'DX-Data'!$H$12:$J$18,2,TRUE),"CHOOSE AC TYPE")))),0)</f>
        <v>0</v>
      </c>
      <c r="AM159" s="77">
        <f t="shared" si="15"/>
        <v>0</v>
      </c>
      <c r="AN159" s="76" t="str">
        <f>IF(E159="","",VLOOKUP($AM159,'DX-Data'!$I$5:$J$31,2,FALSE))</f>
        <v/>
      </c>
      <c r="AO159" s="77" t="str">
        <f t="shared" si="16"/>
        <v/>
      </c>
    </row>
    <row r="160" spans="2:41" hidden="1" x14ac:dyDescent="0.3">
      <c r="B160" s="71"/>
      <c r="C160" s="26"/>
      <c r="D160" s="27"/>
      <c r="E160" s="26"/>
      <c r="F160" s="26"/>
      <c r="G160" s="82"/>
      <c r="H160" s="74" t="str">
        <f t="shared" si="13"/>
        <v/>
      </c>
      <c r="I160" s="2" t="str">
        <f t="shared" si="14"/>
        <v/>
      </c>
      <c r="J160" s="21" t="str">
        <f>IF($H160="","",VLOOKUP($H160,Data!$C$6:$Y$29,2,FALSE))</f>
        <v/>
      </c>
      <c r="K160" s="2" t="str">
        <f>IF($H160="","",VLOOKUP($H160,Data!$C$6:$Y$29,3,FALSE))</f>
        <v/>
      </c>
      <c r="L160" s="2" t="str">
        <f>IF($H160="","",VLOOKUP($H160,Data!$C$6:$Y$29,4,FALSE))</f>
        <v/>
      </c>
      <c r="M160" s="2" t="str">
        <f>IF($H160="","",VLOOKUP($H160,Data!$C$6:$Y$29,5,FALSE))</f>
        <v/>
      </c>
      <c r="N160" s="2" t="str">
        <f>IF($H160="","",VLOOKUP($H160,Data!$C$6:$Y$29,6,FALSE))</f>
        <v/>
      </c>
      <c r="O160" s="2" t="str">
        <f>IF($H160="","",VLOOKUP($H160,Data!$C$6:$Y$29,7,FALSE))</f>
        <v/>
      </c>
      <c r="P160" s="2" t="str">
        <f>IF($H160="","",VLOOKUP($H160,Data!$C$6:$Y$29,8,FALSE))</f>
        <v/>
      </c>
      <c r="Q160" s="2" t="str">
        <f>IF($H160="","",VLOOKUP($H160,Data!$C$6:$Y$29,9,FALSE))</f>
        <v/>
      </c>
      <c r="R160" s="2" t="str">
        <f>IF($H160="","",VLOOKUP($H160,Data!$C$6:$Y$29,10,FALSE))</f>
        <v/>
      </c>
      <c r="S160" s="2" t="str">
        <f>IF($H160="","",VLOOKUP($H160,Data!$C$6:$Y$29,11,FALSE))</f>
        <v/>
      </c>
      <c r="T160" s="2" t="str">
        <f>IF($H160="","",VLOOKUP($H160,Data!$C$6:$Y$29,12,FALSE))</f>
        <v/>
      </c>
      <c r="U160" s="2" t="str">
        <f>IF($H160="","",VLOOKUP($H160,Data!$C$6:$Y$29,13,FALSE))</f>
        <v/>
      </c>
      <c r="V160" s="2" t="str">
        <f>IF($H160="","",VLOOKUP($H160,Data!$C$6:$Y$29,14,FALSE))</f>
        <v/>
      </c>
      <c r="W160" s="2" t="str">
        <f>IF($H160="","",VLOOKUP($H160,Data!$C$6:$Y$29,15,FALSE))</f>
        <v/>
      </c>
      <c r="X160" s="2" t="str">
        <f>IF($H160="","",VLOOKUP($H160,Data!$C$6:$Y$29,16,FALSE))</f>
        <v/>
      </c>
      <c r="Y160" s="2" t="str">
        <f>IF($H160="","",VLOOKUP($H160,Data!$C$6:$Y$29,17,FALSE))</f>
        <v/>
      </c>
      <c r="Z160" s="2" t="str">
        <f>IF($H160="","",VLOOKUP($H160,Data!$C$6:$Y$29,18,FALSE))</f>
        <v/>
      </c>
      <c r="AA160" s="2" t="str">
        <f>IF($H160="","",VLOOKUP($H160,Data!$C$6:$Y$29,19,FALSE))</f>
        <v/>
      </c>
      <c r="AB160" s="2" t="str">
        <f>IF($H160="","",VLOOKUP($H160,Data!$C$6:$Y$29,20,FALSE))</f>
        <v/>
      </c>
      <c r="AC160" s="2" t="str">
        <f>IF($H160="","",VLOOKUP($H160,Data!$C$6:$Y$29,21,FALSE))</f>
        <v/>
      </c>
      <c r="AD160" s="2" t="str">
        <f>IF($H160="","",VLOOKUP($H160,Data!$C$6:$Y$29,22,FALSE))</f>
        <v/>
      </c>
      <c r="AE160" s="3" t="str">
        <f>IF($H160="","",VLOOKUP($H160,Data!$C$6:$Y$29,23,FALSE))</f>
        <v/>
      </c>
      <c r="AG160" s="76" t="str">
        <f>IF($E160="","",IF($C160="DUCTED",VLOOKUP($E160,'DX-Data'!$D$5:$J$11,7,TRUE),IF($C160="DECORATIVE",VLOOKUP($E160,'DX-Data'!$D$19:$J$23,7,TRUE),IF($C160="PACKAGED",VLOOKUP($E160,'DX-Data'!$D$24:$J$30,7,TRUE),IF($C160="DUCTED-INV",VLOOKUP($E160,'DX-Data'!$D$12:$J$18,7,TRUE),"CHOOSE AC TYPE")))))</f>
        <v/>
      </c>
      <c r="AH160" s="76" t="str">
        <f>IF($F$9=TRUE,IF($C160="DUCTED",VLOOKUP($F160,'DX-Data'!$F$5:$J$11,5,TRUE),IF($C160="DECORATIVE",VLOOKUP($F160,'DX-Data'!$F$19:$J$23,5,TRUE),IF($C160="PACKAGED",VLOOKUP($F160,'DX-Data'!$F$24:$J$30,5,TRUE),IF($C160="DUCTED-INV",VLOOKUP($F160,'DX-Data'!$F$12:$J$18,5,TRUE),"CHOOSE AC TYPE")))),"NO SELECTION")</f>
        <v>CHOOSE AC TYPE</v>
      </c>
      <c r="AI160" s="76" t="str">
        <f>IF($G$9=TRUE,IF($C160="DUCTED",VLOOKUP($G160,'DX-Data'!$H$5:$J$11,3,TRUE),IF($C160="DECORATIVE",VLOOKUP($G160,'DX-Data'!$H$19:$J$23,3,TRUE),IF($C160="PACKAGED",VLOOKUP($G160,'DX-Data'!$H$24:$J$30,3,TRUE),IF($C160="DUCTED-INV",VLOOKUP($G160,'DX-Data'!$H$12:$J$18,3,TRUE),"CHOOSE AC TYPE")))),"NO SELECTION")</f>
        <v>NO SELECTION</v>
      </c>
      <c r="AJ160" s="77" t="str">
        <f>IF($E160="","",IF($C160="DUCTED",VLOOKUP($E160,'DX-Data'!$D$5:$J$11,6,TRUE),IF($C160="DECORATIVE",VLOOKUP($E160,'DX-Data'!$D$19:$J$23,6,TRUE),IF($C160="PACKAGED",VLOOKUP($E160,'DX-Data'!$D$24:$J$30,6,TRUE),IF($C160="DUCTED-INV",VLOOKUP($E160,'DX-Data'!$D$12:$J$18,6,TRUE),0)))))</f>
        <v/>
      </c>
      <c r="AK160" s="77" t="str">
        <f>IF($F$9=TRUE,IF($C160="DUCTED",VLOOKUP($F160,'DX-Data'!$F$5:$J$11,4,TRUE),IF($C160="DECORATIVE",VLOOKUP($F160,'DX-Data'!$F$19:$J$23,4,TRUE),IF($C160="PACKAGED",VLOOKUP($F160,'DX-Data'!$F$24:$J$30,4,TRUE),IF($C160="DUCTED-INV",VLOOKUP($F160,'DX-Data'!$F$12:$J$18,4,TRUE),"CHOOSE AC TYPE")))),0)</f>
        <v>CHOOSE AC TYPE</v>
      </c>
      <c r="AL160" s="77">
        <f>IF($G$9=TRUE,IF($C160="DUCTED",VLOOKUP($G160,'DX-Data'!$H$5:$J$11,2,TRUE),IF($C160="DECORATIVE",VLOOKUP($G160,'DX-Data'!$H$19:$J$23,2,TRUE),IF($C160="PACKAGED",VLOOKUP($G160,'DX-Data'!$H$24:$J$30,2,TRUE),IF($C160="DUCTED-INV",VLOOKUP($G160,'DX-Data'!$H$12:$J$18,2,TRUE),"CHOOSE AC TYPE")))),0)</f>
        <v>0</v>
      </c>
      <c r="AM160" s="77">
        <f t="shared" si="15"/>
        <v>0</v>
      </c>
      <c r="AN160" s="76" t="str">
        <f>IF(E160="","",VLOOKUP($AM160,'DX-Data'!$I$5:$J$31,2,FALSE))</f>
        <v/>
      </c>
      <c r="AO160" s="77" t="str">
        <f t="shared" si="16"/>
        <v/>
      </c>
    </row>
    <row r="161" spans="2:41" hidden="1" x14ac:dyDescent="0.3">
      <c r="B161" s="71"/>
      <c r="C161" s="26"/>
      <c r="D161" s="27"/>
      <c r="E161" s="26"/>
      <c r="F161" s="26"/>
      <c r="G161" s="82"/>
      <c r="H161" s="74" t="str">
        <f t="shared" si="13"/>
        <v/>
      </c>
      <c r="I161" s="2" t="str">
        <f t="shared" si="14"/>
        <v/>
      </c>
      <c r="J161" s="21" t="str">
        <f>IF($H161="","",VLOOKUP($H161,Data!$C$6:$Y$29,2,FALSE))</f>
        <v/>
      </c>
      <c r="K161" s="2" t="str">
        <f>IF($H161="","",VLOOKUP($H161,Data!$C$6:$Y$29,3,FALSE))</f>
        <v/>
      </c>
      <c r="L161" s="2" t="str">
        <f>IF($H161="","",VLOOKUP($H161,Data!$C$6:$Y$29,4,FALSE))</f>
        <v/>
      </c>
      <c r="M161" s="2" t="str">
        <f>IF($H161="","",VLOOKUP($H161,Data!$C$6:$Y$29,5,FALSE))</f>
        <v/>
      </c>
      <c r="N161" s="2" t="str">
        <f>IF($H161="","",VLOOKUP($H161,Data!$C$6:$Y$29,6,FALSE))</f>
        <v/>
      </c>
      <c r="O161" s="2" t="str">
        <f>IF($H161="","",VLOOKUP($H161,Data!$C$6:$Y$29,7,FALSE))</f>
        <v/>
      </c>
      <c r="P161" s="2" t="str">
        <f>IF($H161="","",VLOOKUP($H161,Data!$C$6:$Y$29,8,FALSE))</f>
        <v/>
      </c>
      <c r="Q161" s="2" t="str">
        <f>IF($H161="","",VLOOKUP($H161,Data!$C$6:$Y$29,9,FALSE))</f>
        <v/>
      </c>
      <c r="R161" s="2" t="str">
        <f>IF($H161="","",VLOOKUP($H161,Data!$C$6:$Y$29,10,FALSE))</f>
        <v/>
      </c>
      <c r="S161" s="2" t="str">
        <f>IF($H161="","",VLOOKUP($H161,Data!$C$6:$Y$29,11,FALSE))</f>
        <v/>
      </c>
      <c r="T161" s="2" t="str">
        <f>IF($H161="","",VLOOKUP($H161,Data!$C$6:$Y$29,12,FALSE))</f>
        <v/>
      </c>
      <c r="U161" s="2" t="str">
        <f>IF($H161="","",VLOOKUP($H161,Data!$C$6:$Y$29,13,FALSE))</f>
        <v/>
      </c>
      <c r="V161" s="2" t="str">
        <f>IF($H161="","",VLOOKUP($H161,Data!$C$6:$Y$29,14,FALSE))</f>
        <v/>
      </c>
      <c r="W161" s="2" t="str">
        <f>IF($H161="","",VLOOKUP($H161,Data!$C$6:$Y$29,15,FALSE))</f>
        <v/>
      </c>
      <c r="X161" s="2" t="str">
        <f>IF($H161="","",VLOOKUP($H161,Data!$C$6:$Y$29,16,FALSE))</f>
        <v/>
      </c>
      <c r="Y161" s="2" t="str">
        <f>IF($H161="","",VLOOKUP($H161,Data!$C$6:$Y$29,17,FALSE))</f>
        <v/>
      </c>
      <c r="Z161" s="2" t="str">
        <f>IF($H161="","",VLOOKUP($H161,Data!$C$6:$Y$29,18,FALSE))</f>
        <v/>
      </c>
      <c r="AA161" s="2" t="str">
        <f>IF($H161="","",VLOOKUP($H161,Data!$C$6:$Y$29,19,FALSE))</f>
        <v/>
      </c>
      <c r="AB161" s="2" t="str">
        <f>IF($H161="","",VLOOKUP($H161,Data!$C$6:$Y$29,20,FALSE))</f>
        <v/>
      </c>
      <c r="AC161" s="2" t="str">
        <f>IF($H161="","",VLOOKUP($H161,Data!$C$6:$Y$29,21,FALSE))</f>
        <v/>
      </c>
      <c r="AD161" s="2" t="str">
        <f>IF($H161="","",VLOOKUP($H161,Data!$C$6:$Y$29,22,FALSE))</f>
        <v/>
      </c>
      <c r="AE161" s="3" t="str">
        <f>IF($H161="","",VLOOKUP($H161,Data!$C$6:$Y$29,23,FALSE))</f>
        <v/>
      </c>
      <c r="AG161" s="76" t="str">
        <f>IF($E161="","",IF($C161="DUCTED",VLOOKUP($E161,'DX-Data'!$D$5:$J$11,7,TRUE),IF($C161="DECORATIVE",VLOOKUP($E161,'DX-Data'!$D$19:$J$23,7,TRUE),IF($C161="PACKAGED",VLOOKUP($E161,'DX-Data'!$D$24:$J$30,7,TRUE),IF($C161="DUCTED-INV",VLOOKUP($E161,'DX-Data'!$D$12:$J$18,7,TRUE),"CHOOSE AC TYPE")))))</f>
        <v/>
      </c>
      <c r="AH161" s="76" t="str">
        <f>IF($F$9=TRUE,IF($C161="DUCTED",VLOOKUP($F161,'DX-Data'!$F$5:$J$11,5,TRUE),IF($C161="DECORATIVE",VLOOKUP($F161,'DX-Data'!$F$19:$J$23,5,TRUE),IF($C161="PACKAGED",VLOOKUP($F161,'DX-Data'!$F$24:$J$30,5,TRUE),IF($C161="DUCTED-INV",VLOOKUP($F161,'DX-Data'!$F$12:$J$18,5,TRUE),"CHOOSE AC TYPE")))),"NO SELECTION")</f>
        <v>CHOOSE AC TYPE</v>
      </c>
      <c r="AI161" s="76" t="str">
        <f>IF($G$9=TRUE,IF($C161="DUCTED",VLOOKUP($G161,'DX-Data'!$H$5:$J$11,3,TRUE),IF($C161="DECORATIVE",VLOOKUP($G161,'DX-Data'!$H$19:$J$23,3,TRUE),IF($C161="PACKAGED",VLOOKUP($G161,'DX-Data'!$H$24:$J$30,3,TRUE),IF($C161="DUCTED-INV",VLOOKUP($G161,'DX-Data'!$H$12:$J$18,3,TRUE),"CHOOSE AC TYPE")))),"NO SELECTION")</f>
        <v>NO SELECTION</v>
      </c>
      <c r="AJ161" s="77" t="str">
        <f>IF($E161="","",IF($C161="DUCTED",VLOOKUP($E161,'DX-Data'!$D$5:$J$11,6,TRUE),IF($C161="DECORATIVE",VLOOKUP($E161,'DX-Data'!$D$19:$J$23,6,TRUE),IF($C161="PACKAGED",VLOOKUP($E161,'DX-Data'!$D$24:$J$30,6,TRUE),IF($C161="DUCTED-INV",VLOOKUP($E161,'DX-Data'!$D$12:$J$18,6,TRUE),0)))))</f>
        <v/>
      </c>
      <c r="AK161" s="77" t="str">
        <f>IF($F$9=TRUE,IF($C161="DUCTED",VLOOKUP($F161,'DX-Data'!$F$5:$J$11,4,TRUE),IF($C161="DECORATIVE",VLOOKUP($F161,'DX-Data'!$F$19:$J$23,4,TRUE),IF($C161="PACKAGED",VLOOKUP($F161,'DX-Data'!$F$24:$J$30,4,TRUE),IF($C161="DUCTED-INV",VLOOKUP($F161,'DX-Data'!$F$12:$J$18,4,TRUE),"CHOOSE AC TYPE")))),0)</f>
        <v>CHOOSE AC TYPE</v>
      </c>
      <c r="AL161" s="77">
        <f>IF($G$9=TRUE,IF($C161="DUCTED",VLOOKUP($G161,'DX-Data'!$H$5:$J$11,2,TRUE),IF($C161="DECORATIVE",VLOOKUP($G161,'DX-Data'!$H$19:$J$23,2,TRUE),IF($C161="PACKAGED",VLOOKUP($G161,'DX-Data'!$H$24:$J$30,2,TRUE),IF($C161="DUCTED-INV",VLOOKUP($G161,'DX-Data'!$H$12:$J$18,2,TRUE),"CHOOSE AC TYPE")))),0)</f>
        <v>0</v>
      </c>
      <c r="AM161" s="77">
        <f t="shared" si="15"/>
        <v>0</v>
      </c>
      <c r="AN161" s="76" t="str">
        <f>IF(E161="","",VLOOKUP($AM161,'DX-Data'!$I$5:$J$31,2,FALSE))</f>
        <v/>
      </c>
      <c r="AO161" s="77" t="str">
        <f t="shared" si="16"/>
        <v/>
      </c>
    </row>
    <row r="162" spans="2:41" hidden="1" x14ac:dyDescent="0.3">
      <c r="B162" s="71"/>
      <c r="C162" s="26"/>
      <c r="D162" s="27"/>
      <c r="E162" s="26"/>
      <c r="F162" s="26"/>
      <c r="G162" s="82"/>
      <c r="H162" s="74" t="str">
        <f t="shared" si="13"/>
        <v/>
      </c>
      <c r="I162" s="2" t="str">
        <f t="shared" si="14"/>
        <v/>
      </c>
      <c r="J162" s="21" t="str">
        <f>IF($H162="","",VLOOKUP($H162,Data!$C$6:$Y$29,2,FALSE))</f>
        <v/>
      </c>
      <c r="K162" s="2" t="str">
        <f>IF($H162="","",VLOOKUP($H162,Data!$C$6:$Y$29,3,FALSE))</f>
        <v/>
      </c>
      <c r="L162" s="2" t="str">
        <f>IF($H162="","",VLOOKUP($H162,Data!$C$6:$Y$29,4,FALSE))</f>
        <v/>
      </c>
      <c r="M162" s="2" t="str">
        <f>IF($H162="","",VLOOKUP($H162,Data!$C$6:$Y$29,5,FALSE))</f>
        <v/>
      </c>
      <c r="N162" s="2" t="str">
        <f>IF($H162="","",VLOOKUP($H162,Data!$C$6:$Y$29,6,FALSE))</f>
        <v/>
      </c>
      <c r="O162" s="2" t="str">
        <f>IF($H162="","",VLOOKUP($H162,Data!$C$6:$Y$29,7,FALSE))</f>
        <v/>
      </c>
      <c r="P162" s="2" t="str">
        <f>IF($H162="","",VLOOKUP($H162,Data!$C$6:$Y$29,8,FALSE))</f>
        <v/>
      </c>
      <c r="Q162" s="2" t="str">
        <f>IF($H162="","",VLOOKUP($H162,Data!$C$6:$Y$29,9,FALSE))</f>
        <v/>
      </c>
      <c r="R162" s="2" t="str">
        <f>IF($H162="","",VLOOKUP($H162,Data!$C$6:$Y$29,10,FALSE))</f>
        <v/>
      </c>
      <c r="S162" s="2" t="str">
        <f>IF($H162="","",VLOOKUP($H162,Data!$C$6:$Y$29,11,FALSE))</f>
        <v/>
      </c>
      <c r="T162" s="2" t="str">
        <f>IF($H162="","",VLOOKUP($H162,Data!$C$6:$Y$29,12,FALSE))</f>
        <v/>
      </c>
      <c r="U162" s="2" t="str">
        <f>IF($H162="","",VLOOKUP($H162,Data!$C$6:$Y$29,13,FALSE))</f>
        <v/>
      </c>
      <c r="V162" s="2" t="str">
        <f>IF($H162="","",VLOOKUP($H162,Data!$C$6:$Y$29,14,FALSE))</f>
        <v/>
      </c>
      <c r="W162" s="2" t="str">
        <f>IF($H162="","",VLOOKUP($H162,Data!$C$6:$Y$29,15,FALSE))</f>
        <v/>
      </c>
      <c r="X162" s="2" t="str">
        <f>IF($H162="","",VLOOKUP($H162,Data!$C$6:$Y$29,16,FALSE))</f>
        <v/>
      </c>
      <c r="Y162" s="2" t="str">
        <f>IF($H162="","",VLOOKUP($H162,Data!$C$6:$Y$29,17,FALSE))</f>
        <v/>
      </c>
      <c r="Z162" s="2" t="str">
        <f>IF($H162="","",VLOOKUP($H162,Data!$C$6:$Y$29,18,FALSE))</f>
        <v/>
      </c>
      <c r="AA162" s="2" t="str">
        <f>IF($H162="","",VLOOKUP($H162,Data!$C$6:$Y$29,19,FALSE))</f>
        <v/>
      </c>
      <c r="AB162" s="2" t="str">
        <f>IF($H162="","",VLOOKUP($H162,Data!$C$6:$Y$29,20,FALSE))</f>
        <v/>
      </c>
      <c r="AC162" s="2" t="str">
        <f>IF($H162="","",VLOOKUP($H162,Data!$C$6:$Y$29,21,FALSE))</f>
        <v/>
      </c>
      <c r="AD162" s="2" t="str">
        <f>IF($H162="","",VLOOKUP($H162,Data!$C$6:$Y$29,22,FALSE))</f>
        <v/>
      </c>
      <c r="AE162" s="3" t="str">
        <f>IF($H162="","",VLOOKUP($H162,Data!$C$6:$Y$29,23,FALSE))</f>
        <v/>
      </c>
      <c r="AG162" s="76" t="str">
        <f>IF($E162="","",IF($C162="DUCTED",VLOOKUP($E162,'DX-Data'!$D$5:$J$11,7,TRUE),IF($C162="DECORATIVE",VLOOKUP($E162,'DX-Data'!$D$19:$J$23,7,TRUE),IF($C162="PACKAGED",VLOOKUP($E162,'DX-Data'!$D$24:$J$30,7,TRUE),IF($C162="DUCTED-INV",VLOOKUP($E162,'DX-Data'!$D$12:$J$18,7,TRUE),"CHOOSE AC TYPE")))))</f>
        <v/>
      </c>
      <c r="AH162" s="76" t="str">
        <f>IF($F$9=TRUE,IF($C162="DUCTED",VLOOKUP($F162,'DX-Data'!$F$5:$J$11,5,TRUE),IF($C162="DECORATIVE",VLOOKUP($F162,'DX-Data'!$F$19:$J$23,5,TRUE),IF($C162="PACKAGED",VLOOKUP($F162,'DX-Data'!$F$24:$J$30,5,TRUE),IF($C162="DUCTED-INV",VLOOKUP($F162,'DX-Data'!$F$12:$J$18,5,TRUE),"CHOOSE AC TYPE")))),"NO SELECTION")</f>
        <v>CHOOSE AC TYPE</v>
      </c>
      <c r="AI162" s="76" t="str">
        <f>IF($G$9=TRUE,IF($C162="DUCTED",VLOOKUP($G162,'DX-Data'!$H$5:$J$11,3,TRUE),IF($C162="DECORATIVE",VLOOKUP($G162,'DX-Data'!$H$19:$J$23,3,TRUE),IF($C162="PACKAGED",VLOOKUP($G162,'DX-Data'!$H$24:$J$30,3,TRUE),IF($C162="DUCTED-INV",VLOOKUP($G162,'DX-Data'!$H$12:$J$18,3,TRUE),"CHOOSE AC TYPE")))),"NO SELECTION")</f>
        <v>NO SELECTION</v>
      </c>
      <c r="AJ162" s="77" t="str">
        <f>IF($E162="","",IF($C162="DUCTED",VLOOKUP($E162,'DX-Data'!$D$5:$J$11,6,TRUE),IF($C162="DECORATIVE",VLOOKUP($E162,'DX-Data'!$D$19:$J$23,6,TRUE),IF($C162="PACKAGED",VLOOKUP($E162,'DX-Data'!$D$24:$J$30,6,TRUE),IF($C162="DUCTED-INV",VLOOKUP($E162,'DX-Data'!$D$12:$J$18,6,TRUE),0)))))</f>
        <v/>
      </c>
      <c r="AK162" s="77" t="str">
        <f>IF($F$9=TRUE,IF($C162="DUCTED",VLOOKUP($F162,'DX-Data'!$F$5:$J$11,4,TRUE),IF($C162="DECORATIVE",VLOOKUP($F162,'DX-Data'!$F$19:$J$23,4,TRUE),IF($C162="PACKAGED",VLOOKUP($F162,'DX-Data'!$F$24:$J$30,4,TRUE),IF($C162="DUCTED-INV",VLOOKUP($F162,'DX-Data'!$F$12:$J$18,4,TRUE),"CHOOSE AC TYPE")))),0)</f>
        <v>CHOOSE AC TYPE</v>
      </c>
      <c r="AL162" s="77">
        <f>IF($G$9=TRUE,IF($C162="DUCTED",VLOOKUP($G162,'DX-Data'!$H$5:$J$11,2,TRUE),IF($C162="DECORATIVE",VLOOKUP($G162,'DX-Data'!$H$19:$J$23,2,TRUE),IF($C162="PACKAGED",VLOOKUP($G162,'DX-Data'!$H$24:$J$30,2,TRUE),IF($C162="DUCTED-INV",VLOOKUP($G162,'DX-Data'!$H$12:$J$18,2,TRUE),"CHOOSE AC TYPE")))),0)</f>
        <v>0</v>
      </c>
      <c r="AM162" s="77">
        <f t="shared" si="15"/>
        <v>0</v>
      </c>
      <c r="AN162" s="76" t="str">
        <f>IF(E162="","",VLOOKUP($AM162,'DX-Data'!$I$5:$J$31,2,FALSE))</f>
        <v/>
      </c>
      <c r="AO162" s="77" t="str">
        <f t="shared" si="16"/>
        <v/>
      </c>
    </row>
    <row r="163" spans="2:41" hidden="1" x14ac:dyDescent="0.3">
      <c r="B163" s="71"/>
      <c r="C163" s="26"/>
      <c r="D163" s="27"/>
      <c r="E163" s="26"/>
      <c r="F163" s="26"/>
      <c r="G163" s="82"/>
      <c r="H163" s="74" t="str">
        <f t="shared" si="13"/>
        <v/>
      </c>
      <c r="I163" s="2" t="str">
        <f t="shared" si="14"/>
        <v/>
      </c>
      <c r="J163" s="21" t="str">
        <f>IF($H163="","",VLOOKUP($H163,Data!$C$6:$Y$29,2,FALSE))</f>
        <v/>
      </c>
      <c r="K163" s="2" t="str">
        <f>IF($H163="","",VLOOKUP($H163,Data!$C$6:$Y$29,3,FALSE))</f>
        <v/>
      </c>
      <c r="L163" s="2" t="str">
        <f>IF($H163="","",VLOOKUP($H163,Data!$C$6:$Y$29,4,FALSE))</f>
        <v/>
      </c>
      <c r="M163" s="2" t="str">
        <f>IF($H163="","",VLOOKUP($H163,Data!$C$6:$Y$29,5,FALSE))</f>
        <v/>
      </c>
      <c r="N163" s="2" t="str">
        <f>IF($H163="","",VLOOKUP($H163,Data!$C$6:$Y$29,6,FALSE))</f>
        <v/>
      </c>
      <c r="O163" s="2" t="str">
        <f>IF($H163="","",VLOOKUP($H163,Data!$C$6:$Y$29,7,FALSE))</f>
        <v/>
      </c>
      <c r="P163" s="2" t="str">
        <f>IF($H163="","",VLOOKUP($H163,Data!$C$6:$Y$29,8,FALSE))</f>
        <v/>
      </c>
      <c r="Q163" s="2" t="str">
        <f>IF($H163="","",VLOOKUP($H163,Data!$C$6:$Y$29,9,FALSE))</f>
        <v/>
      </c>
      <c r="R163" s="2" t="str">
        <f>IF($H163="","",VLOOKUP($H163,Data!$C$6:$Y$29,10,FALSE))</f>
        <v/>
      </c>
      <c r="S163" s="2" t="str">
        <f>IF($H163="","",VLOOKUP($H163,Data!$C$6:$Y$29,11,FALSE))</f>
        <v/>
      </c>
      <c r="T163" s="2" t="str">
        <f>IF($H163="","",VLOOKUP($H163,Data!$C$6:$Y$29,12,FALSE))</f>
        <v/>
      </c>
      <c r="U163" s="2" t="str">
        <f>IF($H163="","",VLOOKUP($H163,Data!$C$6:$Y$29,13,FALSE))</f>
        <v/>
      </c>
      <c r="V163" s="2" t="str">
        <f>IF($H163="","",VLOOKUP($H163,Data!$C$6:$Y$29,14,FALSE))</f>
        <v/>
      </c>
      <c r="W163" s="2" t="str">
        <f>IF($H163="","",VLOOKUP($H163,Data!$C$6:$Y$29,15,FALSE))</f>
        <v/>
      </c>
      <c r="X163" s="2" t="str">
        <f>IF($H163="","",VLOOKUP($H163,Data!$C$6:$Y$29,16,FALSE))</f>
        <v/>
      </c>
      <c r="Y163" s="2" t="str">
        <f>IF($H163="","",VLOOKUP($H163,Data!$C$6:$Y$29,17,FALSE))</f>
        <v/>
      </c>
      <c r="Z163" s="2" t="str">
        <f>IF($H163="","",VLOOKUP($H163,Data!$C$6:$Y$29,18,FALSE))</f>
        <v/>
      </c>
      <c r="AA163" s="2" t="str">
        <f>IF($H163="","",VLOOKUP($H163,Data!$C$6:$Y$29,19,FALSE))</f>
        <v/>
      </c>
      <c r="AB163" s="2" t="str">
        <f>IF($H163="","",VLOOKUP($H163,Data!$C$6:$Y$29,20,FALSE))</f>
        <v/>
      </c>
      <c r="AC163" s="2" t="str">
        <f>IF($H163="","",VLOOKUP($H163,Data!$C$6:$Y$29,21,FALSE))</f>
        <v/>
      </c>
      <c r="AD163" s="2" t="str">
        <f>IF($H163="","",VLOOKUP($H163,Data!$C$6:$Y$29,22,FALSE))</f>
        <v/>
      </c>
      <c r="AE163" s="3" t="str">
        <f>IF($H163="","",VLOOKUP($H163,Data!$C$6:$Y$29,23,FALSE))</f>
        <v/>
      </c>
      <c r="AG163" s="76" t="str">
        <f>IF($E163="","",IF($C163="DUCTED",VLOOKUP($E163,'DX-Data'!$D$5:$J$11,7,TRUE),IF($C163="DECORATIVE",VLOOKUP($E163,'DX-Data'!$D$19:$J$23,7,TRUE),IF($C163="PACKAGED",VLOOKUP($E163,'DX-Data'!$D$24:$J$30,7,TRUE),IF($C163="DUCTED-INV",VLOOKUP($E163,'DX-Data'!$D$12:$J$18,7,TRUE),"CHOOSE AC TYPE")))))</f>
        <v/>
      </c>
      <c r="AH163" s="76" t="str">
        <f>IF($F$9=TRUE,IF($C163="DUCTED",VLOOKUP($F163,'DX-Data'!$F$5:$J$11,5,TRUE),IF($C163="DECORATIVE",VLOOKUP($F163,'DX-Data'!$F$19:$J$23,5,TRUE),IF($C163="PACKAGED",VLOOKUP($F163,'DX-Data'!$F$24:$J$30,5,TRUE),IF($C163="DUCTED-INV",VLOOKUP($F163,'DX-Data'!$F$12:$J$18,5,TRUE),"CHOOSE AC TYPE")))),"NO SELECTION")</f>
        <v>CHOOSE AC TYPE</v>
      </c>
      <c r="AI163" s="76" t="str">
        <f>IF($G$9=TRUE,IF($C163="DUCTED",VLOOKUP($G163,'DX-Data'!$H$5:$J$11,3,TRUE),IF($C163="DECORATIVE",VLOOKUP($G163,'DX-Data'!$H$19:$J$23,3,TRUE),IF($C163="PACKAGED",VLOOKUP($G163,'DX-Data'!$H$24:$J$30,3,TRUE),IF($C163="DUCTED-INV",VLOOKUP($G163,'DX-Data'!$H$12:$J$18,3,TRUE),"CHOOSE AC TYPE")))),"NO SELECTION")</f>
        <v>NO SELECTION</v>
      </c>
      <c r="AJ163" s="77" t="str">
        <f>IF($E163="","",IF($C163="DUCTED",VLOOKUP($E163,'DX-Data'!$D$5:$J$11,6,TRUE),IF($C163="DECORATIVE",VLOOKUP($E163,'DX-Data'!$D$19:$J$23,6,TRUE),IF($C163="PACKAGED",VLOOKUP($E163,'DX-Data'!$D$24:$J$30,6,TRUE),IF($C163="DUCTED-INV",VLOOKUP($E163,'DX-Data'!$D$12:$J$18,6,TRUE),0)))))</f>
        <v/>
      </c>
      <c r="AK163" s="77" t="str">
        <f>IF($F$9=TRUE,IF($C163="DUCTED",VLOOKUP($F163,'DX-Data'!$F$5:$J$11,4,TRUE),IF($C163="DECORATIVE",VLOOKUP($F163,'DX-Data'!$F$19:$J$23,4,TRUE),IF($C163="PACKAGED",VLOOKUP($F163,'DX-Data'!$F$24:$J$30,4,TRUE),IF($C163="DUCTED-INV",VLOOKUP($F163,'DX-Data'!$F$12:$J$18,4,TRUE),"CHOOSE AC TYPE")))),0)</f>
        <v>CHOOSE AC TYPE</v>
      </c>
      <c r="AL163" s="77">
        <f>IF($G$9=TRUE,IF($C163="DUCTED",VLOOKUP($G163,'DX-Data'!$H$5:$J$11,2,TRUE),IF($C163="DECORATIVE",VLOOKUP($G163,'DX-Data'!$H$19:$J$23,2,TRUE),IF($C163="PACKAGED",VLOOKUP($G163,'DX-Data'!$H$24:$J$30,2,TRUE),IF($C163="DUCTED-INV",VLOOKUP($G163,'DX-Data'!$H$12:$J$18,2,TRUE),"CHOOSE AC TYPE")))),0)</f>
        <v>0</v>
      </c>
      <c r="AM163" s="77">
        <f t="shared" si="15"/>
        <v>0</v>
      </c>
      <c r="AN163" s="76" t="str">
        <f>IF(E163="","",VLOOKUP($AM163,'DX-Data'!$I$5:$J$31,2,FALSE))</f>
        <v/>
      </c>
      <c r="AO163" s="77" t="str">
        <f t="shared" si="16"/>
        <v/>
      </c>
    </row>
    <row r="164" spans="2:41" ht="15" thickBot="1" x14ac:dyDescent="0.35">
      <c r="B164" s="72"/>
      <c r="C164" s="28"/>
      <c r="D164" s="29"/>
      <c r="E164" s="28"/>
      <c r="F164" s="28"/>
      <c r="G164" s="83"/>
      <c r="H164" s="75" t="str">
        <f t="shared" si="0"/>
        <v/>
      </c>
      <c r="I164" s="4" t="str">
        <f t="shared" si="2"/>
        <v/>
      </c>
      <c r="J164" s="41" t="str">
        <f>IF($H164="","",VLOOKUP($H164,Data!$C$6:$Y$29,2,FALSE))</f>
        <v/>
      </c>
      <c r="K164" s="4" t="str">
        <f>IF($H164="","",VLOOKUP($H164,Data!$C$6:$Y$29,3,FALSE))</f>
        <v/>
      </c>
      <c r="L164" s="4" t="str">
        <f>IF($H164="","",VLOOKUP($H164,Data!$C$6:$Y$29,4,FALSE))</f>
        <v/>
      </c>
      <c r="M164" s="4" t="str">
        <f>IF($H164="","",VLOOKUP($H164,Data!$C$6:$Y$29,5,FALSE))</f>
        <v/>
      </c>
      <c r="N164" s="4" t="str">
        <f>IF($H164="","",VLOOKUP($H164,Data!$C$6:$Y$29,6,FALSE))</f>
        <v/>
      </c>
      <c r="O164" s="4" t="str">
        <f>IF($H164="","",VLOOKUP($H164,Data!$C$6:$Y$29,7,FALSE))</f>
        <v/>
      </c>
      <c r="P164" s="4" t="str">
        <f>IF($H164="","",VLOOKUP($H164,Data!$C$6:$Y$29,8,FALSE))</f>
        <v/>
      </c>
      <c r="Q164" s="4" t="str">
        <f>IF($H164="","",VLOOKUP($H164,Data!$C$6:$Y$29,9,FALSE))</f>
        <v/>
      </c>
      <c r="R164" s="4" t="str">
        <f>IF($H164="","",VLOOKUP($H164,Data!$C$6:$Y$29,10,FALSE))</f>
        <v/>
      </c>
      <c r="S164" s="4" t="str">
        <f>IF($H164="","",VLOOKUP($H164,Data!$C$6:$Y$29,11,FALSE))</f>
        <v/>
      </c>
      <c r="T164" s="4" t="str">
        <f>IF($H164="","",VLOOKUP($H164,Data!$C$6:$Y$29,12,FALSE))</f>
        <v/>
      </c>
      <c r="U164" s="4" t="str">
        <f>IF($H164="","",VLOOKUP($H164,Data!$C$6:$Y$29,13,FALSE))</f>
        <v/>
      </c>
      <c r="V164" s="4" t="str">
        <f>IF($H164="","",VLOOKUP($H164,Data!$C$6:$Y$29,14,FALSE))</f>
        <v/>
      </c>
      <c r="W164" s="4" t="str">
        <f>IF($H164="","",VLOOKUP($H164,Data!$C$6:$Y$29,15,FALSE))</f>
        <v/>
      </c>
      <c r="X164" s="4" t="str">
        <f>IF($H164="","",VLOOKUP($H164,Data!$C$6:$Y$29,16,FALSE))</f>
        <v/>
      </c>
      <c r="Y164" s="4" t="str">
        <f>IF($H164="","",VLOOKUP($H164,Data!$C$6:$Y$29,17,FALSE))</f>
        <v/>
      </c>
      <c r="Z164" s="4" t="str">
        <f>IF($H164="","",VLOOKUP($H164,Data!$C$6:$Y$29,18,FALSE))</f>
        <v/>
      </c>
      <c r="AA164" s="4" t="str">
        <f>IF($H164="","",VLOOKUP($H164,Data!$C$6:$Y$29,19,FALSE))</f>
        <v/>
      </c>
      <c r="AB164" s="4" t="str">
        <f>IF($H164="","",VLOOKUP($H164,Data!$C$6:$Y$29,20,FALSE))</f>
        <v/>
      </c>
      <c r="AC164" s="4" t="str">
        <f>IF($H164="","",VLOOKUP($H164,Data!$C$6:$Y$29,21,FALSE))</f>
        <v/>
      </c>
      <c r="AD164" s="4" t="str">
        <f>IF($H164="","",VLOOKUP($H164,Data!$C$6:$Y$29,22,FALSE))</f>
        <v/>
      </c>
      <c r="AE164" s="5" t="str">
        <f>IF($H164="","",VLOOKUP($H164,Data!$C$6:$Y$29,23,FALSE))</f>
        <v/>
      </c>
      <c r="AG164" s="76" t="str">
        <f>IF($E164="","",IF($C164="DUCTED",VLOOKUP($E164,'DX-Data'!$D$5:$J$11,7,TRUE),IF($C164="DECORATIVE",VLOOKUP($E164,'DX-Data'!$D$19:$J$23,7,TRUE),IF($C164="PACKAGED",VLOOKUP($E164,'DX-Data'!$D$24:$J$30,7,TRUE),IF($C164="DUCTED-INV",VLOOKUP($E164,'DX-Data'!$D$12:$J$18,7,TRUE),"CHOOSE AC TYPE")))))</f>
        <v/>
      </c>
      <c r="AH164" s="76" t="str">
        <f>IF($F$9=TRUE,IF($C164="DUCTED",VLOOKUP($F164,'DX-Data'!$F$5:$J$11,5,TRUE),IF($C164="DECORATIVE",VLOOKUP($F164,'DX-Data'!$F$19:$J$23,5,TRUE),IF($C164="PACKAGED",VLOOKUP($F164,'DX-Data'!$F$24:$J$30,5,TRUE),IF($C164="DUCTED-INV",VLOOKUP($F164,'DX-Data'!$F$12:$J$18,5,TRUE),"CHOOSE AC TYPE")))),"NO SELECTION")</f>
        <v>CHOOSE AC TYPE</v>
      </c>
      <c r="AI164" s="76" t="str">
        <f>IF($G$9=TRUE,IF($C164="DUCTED",VLOOKUP($G164,'DX-Data'!$H$5:$J$11,3,TRUE),IF($C164="DECORATIVE",VLOOKUP($G164,'DX-Data'!$H$19:$J$23,3,TRUE),IF($C164="PACKAGED",VLOOKUP($G164,'DX-Data'!$H$24:$J$30,3,TRUE),IF($C164="DUCTED-INV",VLOOKUP($G164,'DX-Data'!$H$12:$J$18,3,TRUE),"CHOOSE AC TYPE")))),"NO SELECTION")</f>
        <v>NO SELECTION</v>
      </c>
      <c r="AJ164" s="77" t="str">
        <f>IF($E164="","",IF($C164="DUCTED",VLOOKUP($E164,'DX-Data'!$D$5:$J$11,6,TRUE),IF($C164="DECORATIVE",VLOOKUP($E164,'DX-Data'!$D$19:$J$23,6,TRUE),IF($C164="PACKAGED",VLOOKUP($E164,'DX-Data'!$D$24:$J$30,6,TRUE),IF($C164="DUCTED-INV",VLOOKUP($E164,'DX-Data'!$D$12:$J$18,6,TRUE),0)))))</f>
        <v/>
      </c>
      <c r="AK164" s="77" t="str">
        <f>IF($F$9=TRUE,IF($C164="DUCTED",VLOOKUP($F164,'DX-Data'!$F$5:$J$11,4,TRUE),IF($C164="DECORATIVE",VLOOKUP($F164,'DX-Data'!$F$19:$J$23,4,TRUE),IF($C164="PACKAGED",VLOOKUP($F164,'DX-Data'!$F$24:$J$30,4,TRUE),IF($C164="DUCTED-INV",VLOOKUP($F164,'DX-Data'!$F$12:$J$18,4,TRUE),"CHOOSE AC TYPE")))),0)</f>
        <v>CHOOSE AC TYPE</v>
      </c>
      <c r="AL164" s="77">
        <f>IF($G$9=TRUE,IF($C164="DUCTED",VLOOKUP($G164,'DX-Data'!$H$5:$J$11,2,TRUE),IF($C164="DECORATIVE",VLOOKUP($G164,'DX-Data'!$H$19:$J$23,2,TRUE),IF($C164="PACKAGED",VLOOKUP($G164,'DX-Data'!$H$24:$J$30,2,TRUE),IF($C164="DUCTED-INV",VLOOKUP($G164,'DX-Data'!$H$12:$J$18,2,TRUE),"CHOOSE AC TYPE")))),0)</f>
        <v>0</v>
      </c>
      <c r="AM164" s="77">
        <f t="shared" si="3"/>
        <v>0</v>
      </c>
      <c r="AN164" s="76" t="str">
        <f>IF(E164="","",VLOOKUP($AM164,'DX-Data'!$I$5:$J$31,2,FALSE))</f>
        <v/>
      </c>
      <c r="AO164" s="77" t="str">
        <f t="shared" si="4"/>
        <v/>
      </c>
    </row>
    <row r="165" spans="2:41" x14ac:dyDescent="0.3">
      <c r="I165" s="37">
        <f>SUM(I17:I164)</f>
        <v>108</v>
      </c>
      <c r="K165" s="30"/>
      <c r="O165" s="37">
        <f>SUMPRODUCT(I17:I164,O17:O164)</f>
        <v>688.49999999999989</v>
      </c>
      <c r="P165" s="37">
        <f>SUMPRODUCT(I17:I164,P17:P164)</f>
        <v>646.48000000000047</v>
      </c>
      <c r="Q165" s="37">
        <f>SUMPRODUCT(I17:I164,Q17:Q164)</f>
        <v>43646</v>
      </c>
      <c r="T165" s="37">
        <f>SUMPRODUCT(I17:I164,T17:T164)</f>
        <v>294.44999999999993</v>
      </c>
    </row>
  </sheetData>
  <mergeCells count="32">
    <mergeCell ref="B12:G12"/>
    <mergeCell ref="B13:B15"/>
    <mergeCell ref="C13:C15"/>
    <mergeCell ref="D13:D15"/>
    <mergeCell ref="H12:AE12"/>
    <mergeCell ref="AD13:AE13"/>
    <mergeCell ref="AA14:AC14"/>
    <mergeCell ref="L13:L15"/>
    <mergeCell ref="O13:P13"/>
    <mergeCell ref="R13:R15"/>
    <mergeCell ref="S13:T13"/>
    <mergeCell ref="U13:U14"/>
    <mergeCell ref="W13:W15"/>
    <mergeCell ref="X13:Z13"/>
    <mergeCell ref="AA13:AC13"/>
    <mergeCell ref="X14:Z14"/>
    <mergeCell ref="E13:E15"/>
    <mergeCell ref="F13:F15"/>
    <mergeCell ref="G13:G15"/>
    <mergeCell ref="K13:K15"/>
    <mergeCell ref="M14:N14"/>
    <mergeCell ref="AG13:AO13"/>
    <mergeCell ref="H13:H15"/>
    <mergeCell ref="S14:S15"/>
    <mergeCell ref="T14:T15"/>
    <mergeCell ref="I13:I15"/>
    <mergeCell ref="P14:P15"/>
    <mergeCell ref="Q14:Q15"/>
    <mergeCell ref="M13:N13"/>
    <mergeCell ref="V13:V15"/>
    <mergeCell ref="O14:O15"/>
    <mergeCell ref="J13:J15"/>
  </mergeCells>
  <phoneticPr fontId="3" type="noConversion"/>
  <dataValidations count="1">
    <dataValidation type="list" allowBlank="1" showInputMessage="1" showErrorMessage="1" sqref="C17:C164" xr:uid="{1BD7789A-D0BE-4E2F-8B64-2E1B237E7A68}">
      <formula1>"DUCTED, DUCTED-INV, DECORATIVE,PACKAGED"</formula1>
    </dataValidation>
  </dataValidations>
  <pageMargins left="0.25" right="0.25" top="0.75" bottom="0.75" header="0.3" footer="0.3"/>
  <pageSetup scale="44" fitToHeight="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AE67CF-0C4F-4827-8A8A-12935A5FF552}">
          <x14:formula1>
            <xm:f>Data!$C$6:$C$29</xm:f>
          </x14:formula1>
          <xm:sqref>H17:H164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Y33"/>
  <sheetViews>
    <sheetView view="pageBreakPreview" zoomScale="70" zoomScaleNormal="70" zoomScaleSheetLayoutView="70" workbookViewId="0">
      <selection activeCell="K7" sqref="K7"/>
    </sheetView>
  </sheetViews>
  <sheetFormatPr defaultRowHeight="14.4" x14ac:dyDescent="0.3"/>
  <cols>
    <col min="1" max="1" width="18.6640625" style="1" customWidth="1"/>
    <col min="2" max="2" width="14.5546875" style="1" customWidth="1"/>
    <col min="3" max="3" width="30.109375" style="1" bestFit="1" customWidth="1"/>
    <col min="4" max="4" width="9.33203125" style="1" customWidth="1"/>
    <col min="5" max="5" width="12.5546875" style="1" bestFit="1" customWidth="1"/>
    <col min="6" max="6" width="14.109375" style="1" bestFit="1" customWidth="1"/>
    <col min="7" max="8" width="8.6640625" style="1"/>
    <col min="9" max="9" width="8.88671875" style="1" customWidth="1"/>
    <col min="10" max="10" width="8.44140625" style="1" customWidth="1"/>
    <col min="11" max="11" width="6.5546875" style="1" customWidth="1"/>
    <col min="12" max="12" width="8.88671875" style="1" bestFit="1" customWidth="1"/>
    <col min="13" max="13" width="8.88671875" style="1" customWidth="1"/>
    <col min="14" max="14" width="11.33203125" style="1" customWidth="1"/>
    <col min="15" max="15" width="8.6640625" style="1"/>
    <col min="16" max="16" width="4.109375" style="1" bestFit="1" customWidth="1"/>
    <col min="17" max="17" width="12.5546875" style="1" bestFit="1" customWidth="1"/>
    <col min="18" max="18" width="4" style="1" bestFit="1" customWidth="1"/>
    <col min="19" max="19" width="5" style="1" bestFit="1" customWidth="1"/>
    <col min="20" max="20" width="4" style="1" bestFit="1" customWidth="1"/>
    <col min="21" max="21" width="5.109375" style="1" bestFit="1" customWidth="1"/>
    <col min="22" max="22" width="5" style="1" bestFit="1" customWidth="1"/>
    <col min="23" max="23" width="5.109375" style="1" bestFit="1" customWidth="1"/>
    <col min="24" max="24" width="6.88671875" style="1" bestFit="1" customWidth="1"/>
    <col min="25" max="25" width="8.44140625" style="1" bestFit="1" customWidth="1"/>
  </cols>
  <sheetData>
    <row r="1" spans="1:25" ht="15" thickBot="1" x14ac:dyDescent="0.35"/>
    <row r="2" spans="1:25" ht="15" customHeight="1" x14ac:dyDescent="0.3">
      <c r="A2" s="119" t="s">
        <v>23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1"/>
    </row>
    <row r="3" spans="1:25" ht="30" customHeight="1" x14ac:dyDescent="0.3">
      <c r="A3" s="127" t="s">
        <v>0</v>
      </c>
      <c r="B3" s="128"/>
      <c r="C3" s="13" t="s">
        <v>24</v>
      </c>
      <c r="D3" s="91" t="s">
        <v>44</v>
      </c>
      <c r="E3" s="91" t="s">
        <v>45</v>
      </c>
      <c r="F3" s="91" t="s">
        <v>17</v>
      </c>
      <c r="G3" s="95" t="s">
        <v>3</v>
      </c>
      <c r="H3" s="95"/>
      <c r="I3" s="129" t="s">
        <v>1</v>
      </c>
      <c r="J3" s="129"/>
      <c r="K3" s="16" t="s">
        <v>2</v>
      </c>
      <c r="L3" s="123" t="s">
        <v>34</v>
      </c>
      <c r="M3" s="130" t="s">
        <v>70</v>
      </c>
      <c r="N3" s="131"/>
      <c r="O3" s="95" t="s">
        <v>25</v>
      </c>
      <c r="P3" s="95" t="s">
        <v>4</v>
      </c>
      <c r="Q3" s="95" t="s">
        <v>5</v>
      </c>
      <c r="R3" s="95" t="s">
        <v>6</v>
      </c>
      <c r="S3" s="95"/>
      <c r="T3" s="95"/>
      <c r="U3" s="95" t="s">
        <v>6</v>
      </c>
      <c r="V3" s="95"/>
      <c r="W3" s="95"/>
      <c r="X3" s="95" t="s">
        <v>7</v>
      </c>
      <c r="Y3" s="122"/>
    </row>
    <row r="4" spans="1:25" x14ac:dyDescent="0.3">
      <c r="A4" s="127"/>
      <c r="B4" s="128"/>
      <c r="C4" s="95" t="s">
        <v>12</v>
      </c>
      <c r="D4" s="92"/>
      <c r="E4" s="92"/>
      <c r="F4" s="92"/>
      <c r="G4" s="95" t="s">
        <v>11</v>
      </c>
      <c r="H4" s="95"/>
      <c r="I4" s="95" t="s">
        <v>8</v>
      </c>
      <c r="J4" s="95" t="s">
        <v>9</v>
      </c>
      <c r="K4" s="95" t="s">
        <v>10</v>
      </c>
      <c r="L4" s="116"/>
      <c r="M4" s="91" t="s">
        <v>71</v>
      </c>
      <c r="N4" s="92" t="s">
        <v>72</v>
      </c>
      <c r="O4" s="95"/>
      <c r="P4" s="95"/>
      <c r="Q4" s="95"/>
      <c r="R4" s="95" t="s">
        <v>14</v>
      </c>
      <c r="S4" s="95"/>
      <c r="T4" s="95"/>
      <c r="U4" s="95" t="s">
        <v>15</v>
      </c>
      <c r="V4" s="95"/>
      <c r="W4" s="95"/>
      <c r="X4" s="13" t="s">
        <v>16</v>
      </c>
      <c r="Y4" s="14" t="s">
        <v>13</v>
      </c>
    </row>
    <row r="5" spans="1:25" ht="15" thickBot="1" x14ac:dyDescent="0.35">
      <c r="A5" s="6" t="s">
        <v>29</v>
      </c>
      <c r="B5" s="17"/>
      <c r="C5" s="91"/>
      <c r="D5" s="94"/>
      <c r="E5" s="94"/>
      <c r="F5" s="94"/>
      <c r="G5" s="15" t="s">
        <v>16</v>
      </c>
      <c r="H5" s="15" t="s">
        <v>13</v>
      </c>
      <c r="I5" s="91"/>
      <c r="J5" s="91"/>
      <c r="K5" s="91"/>
      <c r="L5" s="116"/>
      <c r="M5" s="94"/>
      <c r="N5" s="92"/>
      <c r="O5" s="7" t="s">
        <v>18</v>
      </c>
      <c r="P5" s="91"/>
      <c r="Q5" s="91"/>
      <c r="R5" s="15" t="s">
        <v>19</v>
      </c>
      <c r="S5" s="15" t="s">
        <v>20</v>
      </c>
      <c r="T5" s="15" t="s">
        <v>21</v>
      </c>
      <c r="U5" s="15" t="s">
        <v>19</v>
      </c>
      <c r="V5" s="15" t="s">
        <v>20</v>
      </c>
      <c r="W5" s="15" t="s">
        <v>21</v>
      </c>
      <c r="X5" s="15" t="s">
        <v>22</v>
      </c>
      <c r="Y5" s="8" t="s">
        <v>22</v>
      </c>
    </row>
    <row r="6" spans="1:25" x14ac:dyDescent="0.3">
      <c r="A6" s="124" t="s">
        <v>38</v>
      </c>
      <c r="B6" s="9" t="s">
        <v>39</v>
      </c>
      <c r="C6" s="9" t="s">
        <v>48</v>
      </c>
      <c r="D6" s="40">
        <v>1.5</v>
      </c>
      <c r="E6" s="9" t="s">
        <v>46</v>
      </c>
      <c r="F6" s="9" t="s">
        <v>32</v>
      </c>
      <c r="G6" s="9" t="s">
        <v>30</v>
      </c>
      <c r="H6" s="9">
        <v>46</v>
      </c>
      <c r="I6" s="9">
        <v>4.24</v>
      </c>
      <c r="J6" s="9">
        <v>4.1100000000000003</v>
      </c>
      <c r="K6" s="9">
        <v>255</v>
      </c>
      <c r="L6" s="9" t="s">
        <v>35</v>
      </c>
      <c r="M6" s="9">
        <v>1.77</v>
      </c>
      <c r="N6" s="9">
        <v>1.8</v>
      </c>
      <c r="O6" s="9">
        <v>3.49</v>
      </c>
      <c r="P6" s="9">
        <v>40</v>
      </c>
      <c r="Q6" s="9" t="s">
        <v>26</v>
      </c>
      <c r="R6" s="9">
        <v>261</v>
      </c>
      <c r="S6" s="9">
        <v>1200</v>
      </c>
      <c r="T6" s="9">
        <v>448</v>
      </c>
      <c r="U6" s="9">
        <v>753</v>
      </c>
      <c r="V6" s="9">
        <v>855</v>
      </c>
      <c r="W6" s="9">
        <v>328</v>
      </c>
      <c r="X6" s="9">
        <v>26</v>
      </c>
      <c r="Y6" s="10">
        <v>47</v>
      </c>
    </row>
    <row r="7" spans="1:25" x14ac:dyDescent="0.3">
      <c r="A7" s="125"/>
      <c r="B7" s="2" t="s">
        <v>39</v>
      </c>
      <c r="C7" s="2" t="s">
        <v>49</v>
      </c>
      <c r="D7" s="21">
        <v>2</v>
      </c>
      <c r="E7" s="2" t="s">
        <v>46</v>
      </c>
      <c r="F7" s="2" t="s">
        <v>32</v>
      </c>
      <c r="G7" s="2" t="s">
        <v>30</v>
      </c>
      <c r="H7" s="2">
        <v>46</v>
      </c>
      <c r="I7" s="2">
        <v>5.48</v>
      </c>
      <c r="J7" s="2">
        <v>5.05</v>
      </c>
      <c r="K7" s="2">
        <v>303</v>
      </c>
      <c r="L7" s="2" t="s">
        <v>35</v>
      </c>
      <c r="M7" s="2">
        <v>2.29</v>
      </c>
      <c r="N7" s="2">
        <v>2.35</v>
      </c>
      <c r="O7" s="2">
        <v>3.44</v>
      </c>
      <c r="P7" s="2">
        <v>40</v>
      </c>
      <c r="Q7" s="2" t="s">
        <v>26</v>
      </c>
      <c r="R7" s="2">
        <v>378</v>
      </c>
      <c r="S7" s="2">
        <v>1115</v>
      </c>
      <c r="T7" s="2">
        <v>541</v>
      </c>
      <c r="U7" s="2">
        <v>753</v>
      </c>
      <c r="V7" s="2">
        <v>855</v>
      </c>
      <c r="W7" s="2">
        <v>328</v>
      </c>
      <c r="X7" s="2">
        <v>44</v>
      </c>
      <c r="Y7" s="3">
        <v>51</v>
      </c>
    </row>
    <row r="8" spans="1:25" x14ac:dyDescent="0.3">
      <c r="A8" s="125"/>
      <c r="B8" s="2" t="s">
        <v>39</v>
      </c>
      <c r="C8" s="2" t="s">
        <v>50</v>
      </c>
      <c r="D8" s="21">
        <v>2.5</v>
      </c>
      <c r="E8" s="2" t="s">
        <v>46</v>
      </c>
      <c r="F8" s="2" t="s">
        <v>32</v>
      </c>
      <c r="G8" s="2" t="s">
        <v>30</v>
      </c>
      <c r="H8" s="2">
        <v>46</v>
      </c>
      <c r="I8" s="2">
        <v>6.93</v>
      </c>
      <c r="J8" s="2">
        <v>6.3</v>
      </c>
      <c r="K8" s="2">
        <v>374</v>
      </c>
      <c r="L8" s="2" t="s">
        <v>35</v>
      </c>
      <c r="M8" s="2">
        <v>2.87</v>
      </c>
      <c r="N8" s="2">
        <v>3.05</v>
      </c>
      <c r="O8" s="2">
        <v>3.49</v>
      </c>
      <c r="P8" s="2">
        <v>40</v>
      </c>
      <c r="Q8" s="2" t="s">
        <v>26</v>
      </c>
      <c r="R8" s="2">
        <v>378</v>
      </c>
      <c r="S8" s="2">
        <v>1115</v>
      </c>
      <c r="T8" s="2">
        <v>541</v>
      </c>
      <c r="U8" s="2">
        <v>852</v>
      </c>
      <c r="V8" s="2">
        <v>1030</v>
      </c>
      <c r="W8" s="2">
        <v>400</v>
      </c>
      <c r="X8" s="2">
        <v>44</v>
      </c>
      <c r="Y8" s="3">
        <v>75</v>
      </c>
    </row>
    <row r="9" spans="1:25" x14ac:dyDescent="0.3">
      <c r="A9" s="125"/>
      <c r="B9" s="2" t="s">
        <v>39</v>
      </c>
      <c r="C9" s="2" t="s">
        <v>51</v>
      </c>
      <c r="D9" s="21">
        <v>3</v>
      </c>
      <c r="E9" s="2" t="s">
        <v>46</v>
      </c>
      <c r="F9" s="2" t="s">
        <v>32</v>
      </c>
      <c r="G9" s="2" t="s">
        <v>30</v>
      </c>
      <c r="H9" s="2">
        <v>46</v>
      </c>
      <c r="I9" s="2">
        <v>8.42</v>
      </c>
      <c r="J9" s="2">
        <v>8.18</v>
      </c>
      <c r="K9" s="2">
        <v>650</v>
      </c>
      <c r="L9" s="2" t="s">
        <v>35</v>
      </c>
      <c r="M9" s="2">
        <v>3.39</v>
      </c>
      <c r="N9" s="2">
        <v>3.55</v>
      </c>
      <c r="O9" s="2">
        <v>3.56</v>
      </c>
      <c r="P9" s="2">
        <v>50</v>
      </c>
      <c r="Q9" s="2" t="s">
        <v>26</v>
      </c>
      <c r="R9" s="2">
        <v>378</v>
      </c>
      <c r="S9" s="2">
        <v>1369</v>
      </c>
      <c r="T9" s="2">
        <v>541</v>
      </c>
      <c r="U9" s="2">
        <v>852</v>
      </c>
      <c r="V9" s="2">
        <v>1030</v>
      </c>
      <c r="W9" s="2">
        <v>400</v>
      </c>
      <c r="X9" s="2">
        <v>50</v>
      </c>
      <c r="Y9" s="3">
        <v>92</v>
      </c>
    </row>
    <row r="10" spans="1:25" x14ac:dyDescent="0.3">
      <c r="A10" s="125"/>
      <c r="B10" s="2" t="s">
        <v>39</v>
      </c>
      <c r="C10" s="2" t="s">
        <v>52</v>
      </c>
      <c r="D10" s="21">
        <v>4</v>
      </c>
      <c r="E10" s="2" t="s">
        <v>46</v>
      </c>
      <c r="F10" s="2" t="s">
        <v>32</v>
      </c>
      <c r="G10" s="2" t="s">
        <v>30</v>
      </c>
      <c r="H10" s="2">
        <v>46</v>
      </c>
      <c r="I10" s="2">
        <v>11.46</v>
      </c>
      <c r="J10" s="2">
        <v>9.9600000000000009</v>
      </c>
      <c r="K10" s="2">
        <v>686</v>
      </c>
      <c r="L10" s="2" t="s">
        <v>35</v>
      </c>
      <c r="M10" s="2">
        <v>4.7</v>
      </c>
      <c r="N10" s="2">
        <v>4.95</v>
      </c>
      <c r="O10" s="2">
        <v>3.41</v>
      </c>
      <c r="P10" s="2">
        <v>50</v>
      </c>
      <c r="Q10" s="2" t="s">
        <v>27</v>
      </c>
      <c r="R10" s="2">
        <v>378</v>
      </c>
      <c r="S10" s="2">
        <v>1569</v>
      </c>
      <c r="T10" s="2">
        <v>541</v>
      </c>
      <c r="U10" s="2">
        <v>852</v>
      </c>
      <c r="V10" s="2">
        <v>1030</v>
      </c>
      <c r="W10" s="2">
        <v>400</v>
      </c>
      <c r="X10" s="2">
        <v>56</v>
      </c>
      <c r="Y10" s="3">
        <v>87</v>
      </c>
    </row>
    <row r="11" spans="1:25" ht="15" thickBot="1" x14ac:dyDescent="0.35">
      <c r="A11" s="125"/>
      <c r="B11" s="4" t="s">
        <v>39</v>
      </c>
      <c r="C11" s="4" t="s">
        <v>53</v>
      </c>
      <c r="D11" s="41">
        <v>5</v>
      </c>
      <c r="E11" s="4" t="s">
        <v>46</v>
      </c>
      <c r="F11" s="4" t="s">
        <v>32</v>
      </c>
      <c r="G11" s="4" t="s">
        <v>30</v>
      </c>
      <c r="H11" s="4">
        <v>46</v>
      </c>
      <c r="I11" s="4">
        <v>13.5</v>
      </c>
      <c r="J11" s="4">
        <v>12.28</v>
      </c>
      <c r="K11" s="4">
        <v>826</v>
      </c>
      <c r="L11" s="4" t="s">
        <v>35</v>
      </c>
      <c r="M11" s="4">
        <v>5.34</v>
      </c>
      <c r="N11" s="4">
        <v>5.62</v>
      </c>
      <c r="O11" s="4">
        <v>3.52</v>
      </c>
      <c r="P11" s="4">
        <v>50</v>
      </c>
      <c r="Q11" s="4" t="s">
        <v>27</v>
      </c>
      <c r="R11" s="4">
        <v>430</v>
      </c>
      <c r="S11" s="4">
        <v>1432</v>
      </c>
      <c r="T11" s="4">
        <v>784</v>
      </c>
      <c r="U11" s="4">
        <v>1067</v>
      </c>
      <c r="V11" s="4">
        <v>930</v>
      </c>
      <c r="W11" s="4">
        <v>880</v>
      </c>
      <c r="X11" s="4">
        <v>71</v>
      </c>
      <c r="Y11" s="5">
        <v>120</v>
      </c>
    </row>
    <row r="12" spans="1:25" x14ac:dyDescent="0.3">
      <c r="A12" s="125"/>
      <c r="B12" s="9" t="s">
        <v>40</v>
      </c>
      <c r="C12" s="9" t="s">
        <v>54</v>
      </c>
      <c r="D12" s="9">
        <v>1.5</v>
      </c>
      <c r="E12" s="9" t="s">
        <v>47</v>
      </c>
      <c r="F12" s="9" t="s">
        <v>33</v>
      </c>
      <c r="G12" s="9" t="s">
        <v>36</v>
      </c>
      <c r="H12" s="9">
        <v>46</v>
      </c>
      <c r="I12" s="9">
        <v>4.2699999999999996</v>
      </c>
      <c r="J12" s="9">
        <v>3.93</v>
      </c>
      <c r="K12" s="9">
        <v>325</v>
      </c>
      <c r="L12" s="9" t="s">
        <v>35</v>
      </c>
      <c r="M12" s="9">
        <v>1.55</v>
      </c>
      <c r="N12" s="9">
        <v>1.6</v>
      </c>
      <c r="O12" s="18">
        <v>3.85</v>
      </c>
      <c r="P12" s="9">
        <v>30</v>
      </c>
      <c r="Q12" s="9" t="s">
        <v>26</v>
      </c>
      <c r="R12" s="9">
        <v>300</v>
      </c>
      <c r="S12" s="9">
        <v>1000</v>
      </c>
      <c r="T12" s="9">
        <v>700</v>
      </c>
      <c r="U12" s="9">
        <v>595</v>
      </c>
      <c r="V12" s="9">
        <v>845</v>
      </c>
      <c r="W12" s="9">
        <v>300</v>
      </c>
      <c r="X12" s="9">
        <v>35</v>
      </c>
      <c r="Y12" s="10">
        <v>40</v>
      </c>
    </row>
    <row r="13" spans="1:25" x14ac:dyDescent="0.3">
      <c r="A13" s="125"/>
      <c r="B13" s="2" t="s">
        <v>40</v>
      </c>
      <c r="C13" s="2" t="s">
        <v>55</v>
      </c>
      <c r="D13" s="2">
        <v>2</v>
      </c>
      <c r="E13" s="2" t="s">
        <v>47</v>
      </c>
      <c r="F13" s="2" t="s">
        <v>33</v>
      </c>
      <c r="G13" s="2" t="s">
        <v>36</v>
      </c>
      <c r="H13" s="2">
        <v>46</v>
      </c>
      <c r="I13" s="2">
        <v>6.4</v>
      </c>
      <c r="J13" s="2">
        <v>4.8</v>
      </c>
      <c r="K13" s="2">
        <v>450</v>
      </c>
      <c r="L13" s="2" t="s">
        <v>35</v>
      </c>
      <c r="M13" s="2">
        <v>2.42</v>
      </c>
      <c r="N13" s="2">
        <v>2.5</v>
      </c>
      <c r="O13" s="19">
        <v>4.16</v>
      </c>
      <c r="P13" s="2">
        <v>30</v>
      </c>
      <c r="Q13" s="2" t="s">
        <v>26</v>
      </c>
      <c r="R13" s="2">
        <v>300</v>
      </c>
      <c r="S13" s="2">
        <v>1400</v>
      </c>
      <c r="T13" s="2">
        <v>700</v>
      </c>
      <c r="U13" s="2">
        <v>990</v>
      </c>
      <c r="V13" s="2">
        <v>940</v>
      </c>
      <c r="W13" s="2">
        <v>320</v>
      </c>
      <c r="X13" s="2">
        <v>45</v>
      </c>
      <c r="Y13" s="3">
        <v>60</v>
      </c>
    </row>
    <row r="14" spans="1:25" x14ac:dyDescent="0.3">
      <c r="A14" s="125"/>
      <c r="B14" s="2" t="s">
        <v>40</v>
      </c>
      <c r="C14" s="2" t="s">
        <v>56</v>
      </c>
      <c r="D14" s="2">
        <v>2.5</v>
      </c>
      <c r="E14" s="2" t="s">
        <v>47</v>
      </c>
      <c r="F14" s="2" t="s">
        <v>33</v>
      </c>
      <c r="G14" s="2" t="s">
        <v>36</v>
      </c>
      <c r="H14" s="2">
        <v>46</v>
      </c>
      <c r="I14" s="2">
        <v>7.69</v>
      </c>
      <c r="J14" s="2">
        <v>6.82</v>
      </c>
      <c r="K14" s="2">
        <v>567</v>
      </c>
      <c r="L14" s="2" t="s">
        <v>35</v>
      </c>
      <c r="M14" s="2">
        <v>3.1</v>
      </c>
      <c r="N14" s="2">
        <v>3.2</v>
      </c>
      <c r="O14" s="19">
        <v>3.6331673014942867</v>
      </c>
      <c r="P14" s="2">
        <v>30</v>
      </c>
      <c r="Q14" s="2" t="s">
        <v>26</v>
      </c>
      <c r="R14" s="2">
        <v>300</v>
      </c>
      <c r="S14" s="2">
        <v>1400</v>
      </c>
      <c r="T14" s="2">
        <v>700</v>
      </c>
      <c r="U14" s="2">
        <v>990</v>
      </c>
      <c r="V14" s="2">
        <v>940</v>
      </c>
      <c r="W14" s="2">
        <v>320</v>
      </c>
      <c r="X14" s="2">
        <v>45</v>
      </c>
      <c r="Y14" s="3">
        <v>61</v>
      </c>
    </row>
    <row r="15" spans="1:25" x14ac:dyDescent="0.3">
      <c r="A15" s="125"/>
      <c r="B15" s="2" t="s">
        <v>40</v>
      </c>
      <c r="C15" s="2" t="s">
        <v>57</v>
      </c>
      <c r="D15" s="21">
        <v>3</v>
      </c>
      <c r="E15" s="21" t="s">
        <v>47</v>
      </c>
      <c r="F15" s="2" t="s">
        <v>33</v>
      </c>
      <c r="G15" s="2" t="s">
        <v>36</v>
      </c>
      <c r="H15" s="2">
        <v>46</v>
      </c>
      <c r="I15" s="2">
        <v>7.72</v>
      </c>
      <c r="J15" s="2">
        <v>6.6</v>
      </c>
      <c r="K15" s="2">
        <v>567</v>
      </c>
      <c r="L15" s="2" t="s">
        <v>35</v>
      </c>
      <c r="M15" s="2">
        <v>3.1</v>
      </c>
      <c r="N15" s="2">
        <v>3.2</v>
      </c>
      <c r="O15" s="19">
        <v>3.55</v>
      </c>
      <c r="P15" s="2">
        <v>50</v>
      </c>
      <c r="Q15" s="2" t="s">
        <v>26</v>
      </c>
      <c r="R15" s="2">
        <v>300</v>
      </c>
      <c r="S15" s="2">
        <v>1400</v>
      </c>
      <c r="T15" s="2">
        <v>700</v>
      </c>
      <c r="U15" s="2">
        <v>990</v>
      </c>
      <c r="V15" s="2">
        <v>940</v>
      </c>
      <c r="W15" s="2">
        <v>320</v>
      </c>
      <c r="X15" s="2">
        <v>45</v>
      </c>
      <c r="Y15" s="3">
        <v>61</v>
      </c>
    </row>
    <row r="16" spans="1:25" x14ac:dyDescent="0.3">
      <c r="A16" s="125"/>
      <c r="B16" s="2" t="s">
        <v>40</v>
      </c>
      <c r="C16" s="2" t="s">
        <v>58</v>
      </c>
      <c r="D16" s="2">
        <v>4</v>
      </c>
      <c r="E16" s="2" t="s">
        <v>47</v>
      </c>
      <c r="F16" s="2" t="s">
        <v>33</v>
      </c>
      <c r="G16" s="2" t="s">
        <v>36</v>
      </c>
      <c r="H16" s="2">
        <v>46</v>
      </c>
      <c r="I16" s="2">
        <v>10.74</v>
      </c>
      <c r="J16" s="2">
        <v>10.44</v>
      </c>
      <c r="K16" s="2">
        <v>683</v>
      </c>
      <c r="L16" s="2" t="s">
        <v>35</v>
      </c>
      <c r="M16" s="2">
        <v>4.6399999999999997</v>
      </c>
      <c r="N16" s="2">
        <v>4.8</v>
      </c>
      <c r="O16" s="19">
        <v>3.51</v>
      </c>
      <c r="P16" s="2">
        <v>50</v>
      </c>
      <c r="Q16" s="2" t="s">
        <v>27</v>
      </c>
      <c r="R16" s="2">
        <v>400</v>
      </c>
      <c r="S16" s="2">
        <v>1500</v>
      </c>
      <c r="T16" s="2">
        <v>800</v>
      </c>
      <c r="U16" s="2">
        <v>870</v>
      </c>
      <c r="V16" s="2">
        <v>1100</v>
      </c>
      <c r="W16" s="2">
        <v>520</v>
      </c>
      <c r="X16" s="2">
        <v>59</v>
      </c>
      <c r="Y16" s="3">
        <v>95</v>
      </c>
    </row>
    <row r="17" spans="1:25" ht="15" thickBot="1" x14ac:dyDescent="0.35">
      <c r="A17" s="126"/>
      <c r="B17" s="4" t="s">
        <v>40</v>
      </c>
      <c r="C17" s="4" t="s">
        <v>59</v>
      </c>
      <c r="D17" s="4">
        <v>4.5</v>
      </c>
      <c r="E17" s="4" t="s">
        <v>47</v>
      </c>
      <c r="F17" s="4" t="s">
        <v>33</v>
      </c>
      <c r="G17" s="4" t="s">
        <v>36</v>
      </c>
      <c r="H17" s="4">
        <v>46</v>
      </c>
      <c r="I17" s="4">
        <v>12.08</v>
      </c>
      <c r="J17" s="4">
        <v>11.75</v>
      </c>
      <c r="K17" s="4">
        <v>683</v>
      </c>
      <c r="L17" s="4" t="s">
        <v>35</v>
      </c>
      <c r="M17" s="4">
        <v>5.0199999999999996</v>
      </c>
      <c r="N17" s="4">
        <v>5.4</v>
      </c>
      <c r="O17" s="20">
        <v>3.51</v>
      </c>
      <c r="P17" s="4">
        <v>50</v>
      </c>
      <c r="Q17" s="4" t="s">
        <v>27</v>
      </c>
      <c r="R17" s="4">
        <v>400</v>
      </c>
      <c r="S17" s="4">
        <v>1500</v>
      </c>
      <c r="T17" s="4">
        <v>800</v>
      </c>
      <c r="U17" s="4">
        <v>870</v>
      </c>
      <c r="V17" s="4">
        <v>1100</v>
      </c>
      <c r="W17" s="4">
        <v>520</v>
      </c>
      <c r="X17" s="4">
        <v>59</v>
      </c>
      <c r="Y17" s="5">
        <v>95</v>
      </c>
    </row>
    <row r="18" spans="1:25" x14ac:dyDescent="0.3">
      <c r="A18" s="124" t="s">
        <v>41</v>
      </c>
      <c r="B18" s="9" t="s">
        <v>42</v>
      </c>
      <c r="C18" s="9" t="s">
        <v>63</v>
      </c>
      <c r="D18" s="9">
        <v>1.5</v>
      </c>
      <c r="E18" s="9" t="s">
        <v>47</v>
      </c>
      <c r="F18" s="9" t="s">
        <v>33</v>
      </c>
      <c r="G18" s="9" t="s">
        <v>31</v>
      </c>
      <c r="H18" s="9">
        <v>46</v>
      </c>
      <c r="I18" s="9">
        <v>4.6100000000000003</v>
      </c>
      <c r="J18" s="9">
        <v>4.16</v>
      </c>
      <c r="K18" s="9">
        <v>342</v>
      </c>
      <c r="L18" s="9" t="s">
        <v>37</v>
      </c>
      <c r="M18" s="9">
        <v>1.57</v>
      </c>
      <c r="N18" s="9">
        <v>2.12</v>
      </c>
      <c r="O18" s="9">
        <v>3.91</v>
      </c>
      <c r="P18" s="9" t="s">
        <v>28</v>
      </c>
      <c r="Q18" s="9" t="s">
        <v>26</v>
      </c>
      <c r="R18" s="9">
        <v>340</v>
      </c>
      <c r="S18" s="9">
        <v>1050</v>
      </c>
      <c r="T18" s="9">
        <v>259</v>
      </c>
      <c r="U18" s="9">
        <v>695</v>
      </c>
      <c r="V18" s="9">
        <v>930</v>
      </c>
      <c r="W18" s="9">
        <v>350</v>
      </c>
      <c r="X18" s="9">
        <v>15</v>
      </c>
      <c r="Y18" s="10">
        <v>46</v>
      </c>
    </row>
    <row r="19" spans="1:25" x14ac:dyDescent="0.3">
      <c r="A19" s="125"/>
      <c r="B19" s="2" t="s">
        <v>42</v>
      </c>
      <c r="C19" s="2" t="s">
        <v>64</v>
      </c>
      <c r="D19" s="2">
        <v>2</v>
      </c>
      <c r="E19" s="2" t="s">
        <v>47</v>
      </c>
      <c r="F19" s="2" t="s">
        <v>33</v>
      </c>
      <c r="G19" s="2" t="s">
        <v>31</v>
      </c>
      <c r="H19" s="2">
        <v>46</v>
      </c>
      <c r="I19" s="2">
        <v>6.15</v>
      </c>
      <c r="J19" s="19">
        <v>5</v>
      </c>
      <c r="K19" s="2">
        <v>367</v>
      </c>
      <c r="L19" s="2" t="s">
        <v>37</v>
      </c>
      <c r="M19" s="2">
        <v>2.19</v>
      </c>
      <c r="N19" s="2">
        <v>2.82</v>
      </c>
      <c r="O19" s="2">
        <v>3.72</v>
      </c>
      <c r="P19" s="2" t="s">
        <v>28</v>
      </c>
      <c r="Q19" s="2" t="s">
        <v>26</v>
      </c>
      <c r="R19" s="2">
        <v>340</v>
      </c>
      <c r="S19" s="2">
        <v>1050</v>
      </c>
      <c r="T19" s="2">
        <v>259</v>
      </c>
      <c r="U19" s="2">
        <v>695</v>
      </c>
      <c r="V19" s="2">
        <v>930</v>
      </c>
      <c r="W19" s="2">
        <v>350</v>
      </c>
      <c r="X19" s="2">
        <v>15</v>
      </c>
      <c r="Y19" s="3">
        <v>49</v>
      </c>
    </row>
    <row r="20" spans="1:25" ht="15" thickBot="1" x14ac:dyDescent="0.35">
      <c r="A20" s="125"/>
      <c r="B20" s="4" t="s">
        <v>42</v>
      </c>
      <c r="C20" s="4" t="s">
        <v>65</v>
      </c>
      <c r="D20" s="4">
        <v>2.4</v>
      </c>
      <c r="E20" s="4" t="s">
        <v>47</v>
      </c>
      <c r="F20" s="4" t="s">
        <v>33</v>
      </c>
      <c r="G20" s="4" t="s">
        <v>31</v>
      </c>
      <c r="H20" s="4">
        <v>46</v>
      </c>
      <c r="I20" s="4">
        <v>7.18</v>
      </c>
      <c r="J20" s="4">
        <v>5.71</v>
      </c>
      <c r="K20" s="4">
        <v>420</v>
      </c>
      <c r="L20" s="4" t="s">
        <v>37</v>
      </c>
      <c r="M20" s="4">
        <v>2.68</v>
      </c>
      <c r="N20" s="4">
        <v>3.2</v>
      </c>
      <c r="O20" s="4">
        <v>3.55</v>
      </c>
      <c r="P20" s="4" t="s">
        <v>28</v>
      </c>
      <c r="Q20" s="4" t="s">
        <v>26</v>
      </c>
      <c r="R20" s="4">
        <v>340</v>
      </c>
      <c r="S20" s="4">
        <v>1200</v>
      </c>
      <c r="T20" s="4">
        <v>259</v>
      </c>
      <c r="U20" s="4">
        <v>695</v>
      </c>
      <c r="V20" s="4">
        <v>930</v>
      </c>
      <c r="W20" s="4">
        <v>350</v>
      </c>
      <c r="X20" s="4">
        <v>18</v>
      </c>
      <c r="Y20" s="5">
        <v>49</v>
      </c>
    </row>
    <row r="21" spans="1:25" x14ac:dyDescent="0.3">
      <c r="A21" s="125"/>
      <c r="B21" s="9" t="s">
        <v>40</v>
      </c>
      <c r="C21" s="9" t="s">
        <v>60</v>
      </c>
      <c r="D21" s="9">
        <v>1</v>
      </c>
      <c r="E21" s="9" t="s">
        <v>47</v>
      </c>
      <c r="F21" s="9" t="s">
        <v>33</v>
      </c>
      <c r="G21" s="9" t="s">
        <v>31</v>
      </c>
      <c r="H21" s="9">
        <v>46</v>
      </c>
      <c r="I21" s="9">
        <v>3.44</v>
      </c>
      <c r="J21" s="9">
        <v>2.95</v>
      </c>
      <c r="K21" s="9">
        <v>238</v>
      </c>
      <c r="L21" s="9" t="s">
        <v>37</v>
      </c>
      <c r="M21" s="9">
        <v>1.04</v>
      </c>
      <c r="N21" s="9">
        <v>1.34</v>
      </c>
      <c r="O21" s="9">
        <v>4.3499999999999996</v>
      </c>
      <c r="P21" s="9" t="s">
        <v>28</v>
      </c>
      <c r="Q21" s="9" t="s">
        <v>26</v>
      </c>
      <c r="R21" s="9">
        <v>298</v>
      </c>
      <c r="S21" s="9">
        <v>885</v>
      </c>
      <c r="T21" s="9">
        <v>229</v>
      </c>
      <c r="U21" s="9">
        <v>595</v>
      </c>
      <c r="V21" s="9">
        <v>845</v>
      </c>
      <c r="W21" s="9">
        <v>300</v>
      </c>
      <c r="X21" s="9">
        <v>11</v>
      </c>
      <c r="Y21" s="10">
        <v>34</v>
      </c>
    </row>
    <row r="22" spans="1:25" x14ac:dyDescent="0.3">
      <c r="A22" s="125"/>
      <c r="B22" s="2" t="s">
        <v>40</v>
      </c>
      <c r="C22" s="2" t="s">
        <v>61</v>
      </c>
      <c r="D22" s="2">
        <v>1.5</v>
      </c>
      <c r="E22" s="2" t="s">
        <v>47</v>
      </c>
      <c r="F22" s="2" t="s">
        <v>33</v>
      </c>
      <c r="G22" s="2" t="s">
        <v>31</v>
      </c>
      <c r="H22" s="2">
        <v>46</v>
      </c>
      <c r="I22" s="2">
        <v>4.3099999999999996</v>
      </c>
      <c r="J22" s="2">
        <v>3.83</v>
      </c>
      <c r="K22" s="2">
        <v>246</v>
      </c>
      <c r="L22" s="2" t="s">
        <v>37</v>
      </c>
      <c r="M22" s="2">
        <v>1.77</v>
      </c>
      <c r="N22" s="2">
        <v>1.79</v>
      </c>
      <c r="O22" s="2">
        <v>3.59</v>
      </c>
      <c r="P22" s="2" t="s">
        <v>28</v>
      </c>
      <c r="Q22" s="2" t="s">
        <v>26</v>
      </c>
      <c r="R22" s="2">
        <v>298</v>
      </c>
      <c r="S22" s="2">
        <v>885</v>
      </c>
      <c r="T22" s="2">
        <v>229</v>
      </c>
      <c r="U22" s="2">
        <v>595</v>
      </c>
      <c r="V22" s="2">
        <v>845</v>
      </c>
      <c r="W22" s="2">
        <v>300</v>
      </c>
      <c r="X22" s="2">
        <v>11</v>
      </c>
      <c r="Y22" s="3">
        <v>37</v>
      </c>
    </row>
    <row r="23" spans="1:25" ht="15" thickBot="1" x14ac:dyDescent="0.35">
      <c r="A23" s="126"/>
      <c r="B23" s="11" t="s">
        <v>40</v>
      </c>
      <c r="C23" s="11" t="s">
        <v>62</v>
      </c>
      <c r="D23" s="11">
        <v>2</v>
      </c>
      <c r="E23" s="11" t="s">
        <v>47</v>
      </c>
      <c r="F23" s="11" t="s">
        <v>33</v>
      </c>
      <c r="G23" s="11" t="s">
        <v>31</v>
      </c>
      <c r="H23" s="4">
        <v>46</v>
      </c>
      <c r="I23" s="11">
        <v>6.03</v>
      </c>
      <c r="J23" s="11">
        <v>4.3099999999999996</v>
      </c>
      <c r="K23" s="11">
        <v>283</v>
      </c>
      <c r="L23" s="4" t="s">
        <v>37</v>
      </c>
      <c r="M23" s="4">
        <v>2.2799999999999998</v>
      </c>
      <c r="N23" s="23">
        <v>2.161</v>
      </c>
      <c r="O23" s="11">
        <v>3.51</v>
      </c>
      <c r="P23" s="11" t="s">
        <v>28</v>
      </c>
      <c r="Q23" s="11" t="s">
        <v>26</v>
      </c>
      <c r="R23" s="11">
        <v>310</v>
      </c>
      <c r="S23" s="11">
        <v>1100</v>
      </c>
      <c r="T23" s="11">
        <v>239</v>
      </c>
      <c r="U23" s="11">
        <v>695</v>
      </c>
      <c r="V23" s="11">
        <v>930</v>
      </c>
      <c r="W23" s="11">
        <v>350</v>
      </c>
      <c r="X23" s="11">
        <v>12</v>
      </c>
      <c r="Y23" s="12">
        <v>47</v>
      </c>
    </row>
    <row r="24" spans="1:25" x14ac:dyDescent="0.3">
      <c r="A24" s="124" t="s">
        <v>43</v>
      </c>
      <c r="B24" s="2" t="s">
        <v>39</v>
      </c>
      <c r="C24" s="2" t="s">
        <v>100</v>
      </c>
      <c r="D24" s="2">
        <v>6.4</v>
      </c>
      <c r="E24" s="2" t="s">
        <v>46</v>
      </c>
      <c r="F24" s="2" t="s">
        <v>32</v>
      </c>
      <c r="G24" s="2" t="s">
        <v>30</v>
      </c>
      <c r="H24" s="2">
        <v>46</v>
      </c>
      <c r="I24" s="2">
        <v>17.8</v>
      </c>
      <c r="J24" s="2">
        <v>16.86</v>
      </c>
      <c r="K24" s="2">
        <v>1156</v>
      </c>
      <c r="L24" s="2" t="s">
        <v>35</v>
      </c>
      <c r="M24" s="2">
        <v>7.48</v>
      </c>
      <c r="N24" s="2">
        <v>7.55</v>
      </c>
      <c r="O24" s="2">
        <v>3.45</v>
      </c>
      <c r="P24" s="2">
        <v>105</v>
      </c>
      <c r="Q24" s="2" t="s">
        <v>27</v>
      </c>
      <c r="R24" s="2" t="s">
        <v>28</v>
      </c>
      <c r="S24" s="2" t="s">
        <v>28</v>
      </c>
      <c r="T24" s="2" t="s">
        <v>28</v>
      </c>
      <c r="U24" s="2">
        <v>1350</v>
      </c>
      <c r="V24" s="2">
        <v>1280</v>
      </c>
      <c r="W24" s="2">
        <v>1520</v>
      </c>
      <c r="X24" s="2" t="s">
        <v>28</v>
      </c>
      <c r="Y24" s="3">
        <v>387</v>
      </c>
    </row>
    <row r="25" spans="1:25" x14ac:dyDescent="0.3">
      <c r="A25" s="125"/>
      <c r="B25" s="2" t="s">
        <v>39</v>
      </c>
      <c r="C25" s="2" t="s">
        <v>101</v>
      </c>
      <c r="D25" s="2">
        <v>13.3</v>
      </c>
      <c r="E25" s="2" t="s">
        <v>46</v>
      </c>
      <c r="F25" s="2" t="s">
        <v>32</v>
      </c>
      <c r="G25" s="2" t="s">
        <v>30</v>
      </c>
      <c r="H25" s="2">
        <v>46</v>
      </c>
      <c r="I25" s="2">
        <v>37.200000000000003</v>
      </c>
      <c r="J25" s="2">
        <v>37.200000000000003</v>
      </c>
      <c r="K25" s="2">
        <v>3304</v>
      </c>
      <c r="L25" s="2" t="s">
        <v>35</v>
      </c>
      <c r="M25" s="2">
        <v>15.6</v>
      </c>
      <c r="N25" s="2">
        <v>15.8</v>
      </c>
      <c r="O25" s="2">
        <v>3.42</v>
      </c>
      <c r="P25" s="2">
        <v>105</v>
      </c>
      <c r="Q25" s="2" t="s">
        <v>27</v>
      </c>
      <c r="R25" s="2" t="s">
        <v>28</v>
      </c>
      <c r="S25" s="2" t="s">
        <v>28</v>
      </c>
      <c r="T25" s="2" t="s">
        <v>28</v>
      </c>
      <c r="U25" s="2">
        <v>1690</v>
      </c>
      <c r="V25" s="2">
        <v>1988</v>
      </c>
      <c r="W25" s="2">
        <v>2079</v>
      </c>
      <c r="X25" s="2" t="s">
        <v>28</v>
      </c>
      <c r="Y25" s="3">
        <v>810</v>
      </c>
    </row>
    <row r="26" spans="1:25" x14ac:dyDescent="0.3">
      <c r="A26" s="125"/>
      <c r="B26" s="2" t="s">
        <v>39</v>
      </c>
      <c r="C26" s="2" t="s">
        <v>66</v>
      </c>
      <c r="D26" s="2">
        <v>15</v>
      </c>
      <c r="E26" s="2" t="s">
        <v>46</v>
      </c>
      <c r="F26" s="2" t="s">
        <v>32</v>
      </c>
      <c r="G26" s="2" t="s">
        <v>30</v>
      </c>
      <c r="H26" s="2">
        <v>46</v>
      </c>
      <c r="I26" s="2">
        <v>41.58</v>
      </c>
      <c r="J26" s="2">
        <v>41.58</v>
      </c>
      <c r="K26" s="2">
        <v>3304</v>
      </c>
      <c r="L26" s="2" t="s">
        <v>35</v>
      </c>
      <c r="M26" s="2">
        <v>18.32</v>
      </c>
      <c r="N26" s="2">
        <v>18.5</v>
      </c>
      <c r="O26" s="2">
        <v>3.29</v>
      </c>
      <c r="P26" s="2">
        <v>150</v>
      </c>
      <c r="Q26" s="2" t="s">
        <v>27</v>
      </c>
      <c r="R26" s="2" t="s">
        <v>28</v>
      </c>
      <c r="S26" s="2" t="s">
        <v>28</v>
      </c>
      <c r="T26" s="2" t="s">
        <v>28</v>
      </c>
      <c r="U26" s="2">
        <v>1690</v>
      </c>
      <c r="V26" s="2">
        <v>1965</v>
      </c>
      <c r="W26" s="2">
        <v>1905</v>
      </c>
      <c r="X26" s="2" t="s">
        <v>28</v>
      </c>
      <c r="Y26" s="3">
        <v>840</v>
      </c>
    </row>
    <row r="27" spans="1:25" x14ac:dyDescent="0.3">
      <c r="A27" s="125"/>
      <c r="B27" s="2" t="s">
        <v>39</v>
      </c>
      <c r="C27" s="2" t="s">
        <v>67</v>
      </c>
      <c r="D27" s="2">
        <v>17.5</v>
      </c>
      <c r="E27" s="2" t="s">
        <v>46</v>
      </c>
      <c r="F27" s="2" t="s">
        <v>32</v>
      </c>
      <c r="G27" s="2" t="s">
        <v>30</v>
      </c>
      <c r="H27" s="2">
        <v>46</v>
      </c>
      <c r="I27" s="2">
        <v>49.19</v>
      </c>
      <c r="J27" s="2">
        <v>49.19</v>
      </c>
      <c r="K27" s="2">
        <v>3587</v>
      </c>
      <c r="L27" s="2" t="s">
        <v>35</v>
      </c>
      <c r="M27" s="2">
        <v>21.67</v>
      </c>
      <c r="N27" s="2">
        <v>21.88</v>
      </c>
      <c r="O27" s="2">
        <v>3.31</v>
      </c>
      <c r="P27" s="2">
        <v>200</v>
      </c>
      <c r="Q27" s="2" t="s">
        <v>27</v>
      </c>
      <c r="R27" s="2" t="s">
        <v>28</v>
      </c>
      <c r="S27" s="2" t="s">
        <v>28</v>
      </c>
      <c r="T27" s="2" t="s">
        <v>28</v>
      </c>
      <c r="U27" s="2">
        <v>1650</v>
      </c>
      <c r="V27" s="2">
        <v>2410</v>
      </c>
      <c r="W27" s="2">
        <v>2030</v>
      </c>
      <c r="X27" s="2" t="s">
        <v>28</v>
      </c>
      <c r="Y27" s="3">
        <v>930</v>
      </c>
    </row>
    <row r="28" spans="1:25" x14ac:dyDescent="0.3">
      <c r="A28" s="125"/>
      <c r="B28" s="2" t="s">
        <v>39</v>
      </c>
      <c r="C28" s="2" t="s">
        <v>68</v>
      </c>
      <c r="D28" s="2">
        <v>20</v>
      </c>
      <c r="E28" s="2" t="s">
        <v>46</v>
      </c>
      <c r="F28" s="2" t="s">
        <v>32</v>
      </c>
      <c r="G28" s="2" t="s">
        <v>30</v>
      </c>
      <c r="H28" s="2">
        <v>46</v>
      </c>
      <c r="I28" s="2">
        <v>54.98</v>
      </c>
      <c r="J28" s="2">
        <v>52.4</v>
      </c>
      <c r="K28" s="2">
        <v>3776</v>
      </c>
      <c r="L28" s="2" t="s">
        <v>35</v>
      </c>
      <c r="M28" s="2">
        <v>24.06</v>
      </c>
      <c r="N28" s="2">
        <v>24.3</v>
      </c>
      <c r="O28" s="2">
        <v>3.32</v>
      </c>
      <c r="P28" s="2">
        <v>200</v>
      </c>
      <c r="Q28" s="2" t="s">
        <v>27</v>
      </c>
      <c r="R28" s="2" t="s">
        <v>28</v>
      </c>
      <c r="S28" s="2" t="s">
        <v>28</v>
      </c>
      <c r="T28" s="2" t="s">
        <v>28</v>
      </c>
      <c r="U28" s="2">
        <v>1650</v>
      </c>
      <c r="V28" s="2">
        <v>2410</v>
      </c>
      <c r="W28" s="2">
        <v>2030</v>
      </c>
      <c r="X28" s="2" t="s">
        <v>28</v>
      </c>
      <c r="Y28" s="3">
        <v>940</v>
      </c>
    </row>
    <row r="29" spans="1:25" ht="15" thickBot="1" x14ac:dyDescent="0.35">
      <c r="A29" s="126"/>
      <c r="B29" s="4" t="s">
        <v>39</v>
      </c>
      <c r="C29" s="4" t="s">
        <v>69</v>
      </c>
      <c r="D29" s="4">
        <v>25</v>
      </c>
      <c r="E29" s="4" t="s">
        <v>46</v>
      </c>
      <c r="F29" s="4" t="s">
        <v>32</v>
      </c>
      <c r="G29" s="4" t="s">
        <v>30</v>
      </c>
      <c r="H29" s="4">
        <v>46</v>
      </c>
      <c r="I29" s="4">
        <v>66.040000000000006</v>
      </c>
      <c r="J29" s="4">
        <v>63.84</v>
      </c>
      <c r="K29" s="4">
        <v>4248</v>
      </c>
      <c r="L29" s="4" t="s">
        <v>35</v>
      </c>
      <c r="M29" s="4">
        <v>29.95</v>
      </c>
      <c r="N29" s="4">
        <v>30.25</v>
      </c>
      <c r="O29" s="4">
        <v>3.27</v>
      </c>
      <c r="P29" s="4">
        <v>250</v>
      </c>
      <c r="Q29" s="4" t="s">
        <v>27</v>
      </c>
      <c r="R29" s="4" t="s">
        <v>28</v>
      </c>
      <c r="S29" s="4" t="s">
        <v>28</v>
      </c>
      <c r="T29" s="4" t="s">
        <v>28</v>
      </c>
      <c r="U29" s="4">
        <v>1950</v>
      </c>
      <c r="V29" s="4">
        <v>2410</v>
      </c>
      <c r="W29" s="4">
        <v>2030</v>
      </c>
      <c r="X29" s="4"/>
      <c r="Y29" s="5">
        <v>1090</v>
      </c>
    </row>
    <row r="33" spans="1:1" x14ac:dyDescent="0.3">
      <c r="A33" s="22"/>
    </row>
  </sheetData>
  <mergeCells count="27">
    <mergeCell ref="A24:A29"/>
    <mergeCell ref="A6:A17"/>
    <mergeCell ref="A18:A23"/>
    <mergeCell ref="U3:W3"/>
    <mergeCell ref="I4:I5"/>
    <mergeCell ref="J4:J5"/>
    <mergeCell ref="K4:K5"/>
    <mergeCell ref="D3:D5"/>
    <mergeCell ref="N4:N5"/>
    <mergeCell ref="R4:T4"/>
    <mergeCell ref="P3:P5"/>
    <mergeCell ref="Q3:Q5"/>
    <mergeCell ref="R3:T3"/>
    <mergeCell ref="A3:B4"/>
    <mergeCell ref="I3:J3"/>
    <mergeCell ref="M3:N3"/>
    <mergeCell ref="A2:Y2"/>
    <mergeCell ref="X3:Y3"/>
    <mergeCell ref="C4:C5"/>
    <mergeCell ref="U4:W4"/>
    <mergeCell ref="L3:L5"/>
    <mergeCell ref="O3:O4"/>
    <mergeCell ref="G3:H3"/>
    <mergeCell ref="G4:H4"/>
    <mergeCell ref="E3:E5"/>
    <mergeCell ref="M4:M5"/>
    <mergeCell ref="F3:F5"/>
  </mergeCells>
  <phoneticPr fontId="3" type="noConversion"/>
  <pageMargins left="0.7" right="0.7" top="0.75" bottom="0.75" header="0.3" footer="0.3"/>
  <pageSetup paperSize="9" scale="55" fitToHeight="0" orientation="landscape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02AE-28F6-46C1-B4F7-44C5F66FEB98}">
  <dimension ref="C2:K31"/>
  <sheetViews>
    <sheetView topLeftCell="A13" workbookViewId="0">
      <selection activeCell="M19" sqref="M19"/>
    </sheetView>
  </sheetViews>
  <sheetFormatPr defaultRowHeight="14.4" x14ac:dyDescent="0.3"/>
  <cols>
    <col min="1" max="1" width="9.5546875" customWidth="1"/>
    <col min="2" max="2" width="14.88671875" customWidth="1"/>
    <col min="3" max="3" width="12.33203125" bestFit="1" customWidth="1"/>
    <col min="5" max="5" width="12.109375" bestFit="1" customWidth="1"/>
    <col min="7" max="7" width="11.44140625" bestFit="1" customWidth="1"/>
    <col min="10" max="10" width="28.88671875" bestFit="1" customWidth="1"/>
  </cols>
  <sheetData>
    <row r="2" spans="3:11" x14ac:dyDescent="0.3">
      <c r="C2" t="s">
        <v>84</v>
      </c>
      <c r="D2" s="65">
        <f>'Selection Sheet'!E10</f>
        <v>0</v>
      </c>
      <c r="E2" t="s">
        <v>85</v>
      </c>
      <c r="F2" s="65">
        <f>'Selection Sheet'!F10</f>
        <v>0</v>
      </c>
      <c r="G2" t="s">
        <v>86</v>
      </c>
      <c r="H2" s="65">
        <f>'Selection Sheet'!G10</f>
        <v>0</v>
      </c>
      <c r="I2" s="57"/>
    </row>
    <row r="4" spans="3:11" x14ac:dyDescent="0.3">
      <c r="C4" s="15" t="s">
        <v>76</v>
      </c>
      <c r="D4" s="15" t="s">
        <v>76</v>
      </c>
      <c r="E4" s="15" t="s">
        <v>77</v>
      </c>
      <c r="F4" s="15" t="s">
        <v>77</v>
      </c>
      <c r="G4" s="15" t="s">
        <v>10</v>
      </c>
      <c r="H4" s="15" t="s">
        <v>10</v>
      </c>
      <c r="I4" s="15" t="s">
        <v>90</v>
      </c>
      <c r="J4" s="15" t="s">
        <v>12</v>
      </c>
      <c r="K4" s="13" t="s">
        <v>87</v>
      </c>
    </row>
    <row r="5" spans="3:11" x14ac:dyDescent="0.3">
      <c r="C5" s="19">
        <v>0</v>
      </c>
      <c r="D5" s="66">
        <f>C5/(1-$D$2)</f>
        <v>0</v>
      </c>
      <c r="E5" s="19">
        <v>0</v>
      </c>
      <c r="F5" s="66">
        <f>E5/(1-$F$2)</f>
        <v>0</v>
      </c>
      <c r="G5" s="39">
        <v>0</v>
      </c>
      <c r="H5" s="67">
        <f>G5/(1-$H$2)</f>
        <v>0</v>
      </c>
      <c r="I5" s="58">
        <v>1</v>
      </c>
      <c r="J5" s="2" t="s">
        <v>48</v>
      </c>
      <c r="K5" s="58">
        <v>1</v>
      </c>
    </row>
    <row r="6" spans="3:11" x14ac:dyDescent="0.3">
      <c r="C6" s="19">
        <v>4.25</v>
      </c>
      <c r="D6" s="66">
        <f t="shared" ref="D6:D30" si="0">C6/(1-$D$2)</f>
        <v>4.25</v>
      </c>
      <c r="E6" s="19">
        <v>4.12</v>
      </c>
      <c r="F6" s="66">
        <f t="shared" ref="F6:F30" si="1">E6/(1-$F$2)</f>
        <v>4.12</v>
      </c>
      <c r="G6" s="39">
        <v>256</v>
      </c>
      <c r="H6" s="67">
        <f t="shared" ref="H6:H30" si="2">G6/(1-$H$2)</f>
        <v>256</v>
      </c>
      <c r="I6" s="58">
        <v>2</v>
      </c>
      <c r="J6" s="2" t="s">
        <v>49</v>
      </c>
      <c r="K6" s="58">
        <v>2</v>
      </c>
    </row>
    <row r="7" spans="3:11" x14ac:dyDescent="0.3">
      <c r="C7" s="19">
        <v>5.49</v>
      </c>
      <c r="D7" s="66">
        <f t="shared" si="0"/>
        <v>5.49</v>
      </c>
      <c r="E7" s="19">
        <v>5.0599999999999996</v>
      </c>
      <c r="F7" s="66">
        <f t="shared" si="1"/>
        <v>5.0599999999999996</v>
      </c>
      <c r="G7" s="39">
        <v>304</v>
      </c>
      <c r="H7" s="67">
        <f t="shared" si="2"/>
        <v>304</v>
      </c>
      <c r="I7" s="58">
        <v>3</v>
      </c>
      <c r="J7" s="2" t="s">
        <v>50</v>
      </c>
      <c r="K7" s="58">
        <v>3</v>
      </c>
    </row>
    <row r="8" spans="3:11" x14ac:dyDescent="0.3">
      <c r="C8" s="19">
        <v>6.94</v>
      </c>
      <c r="D8" s="66">
        <f t="shared" si="0"/>
        <v>6.94</v>
      </c>
      <c r="E8" s="19">
        <v>6.31</v>
      </c>
      <c r="F8" s="66">
        <f t="shared" si="1"/>
        <v>6.31</v>
      </c>
      <c r="G8" s="39">
        <v>375</v>
      </c>
      <c r="H8" s="67">
        <f t="shared" si="2"/>
        <v>375</v>
      </c>
      <c r="I8" s="58">
        <v>4</v>
      </c>
      <c r="J8" s="2" t="s">
        <v>51</v>
      </c>
      <c r="K8" s="58">
        <v>4</v>
      </c>
    </row>
    <row r="9" spans="3:11" x14ac:dyDescent="0.3">
      <c r="C9" s="19">
        <v>8.43</v>
      </c>
      <c r="D9" s="66">
        <f t="shared" si="0"/>
        <v>8.43</v>
      </c>
      <c r="E9" s="19">
        <v>8.19</v>
      </c>
      <c r="F9" s="66">
        <f t="shared" si="1"/>
        <v>8.19</v>
      </c>
      <c r="G9" s="39">
        <v>651</v>
      </c>
      <c r="H9" s="67">
        <f t="shared" si="2"/>
        <v>651</v>
      </c>
      <c r="I9" s="58">
        <v>5</v>
      </c>
      <c r="J9" s="2" t="s">
        <v>52</v>
      </c>
      <c r="K9" s="58">
        <v>5</v>
      </c>
    </row>
    <row r="10" spans="3:11" x14ac:dyDescent="0.3">
      <c r="C10" s="19">
        <v>11.47</v>
      </c>
      <c r="D10" s="66">
        <f t="shared" si="0"/>
        <v>11.47</v>
      </c>
      <c r="E10" s="19">
        <v>9.9700000000000006</v>
      </c>
      <c r="F10" s="66">
        <f t="shared" si="1"/>
        <v>9.9700000000000006</v>
      </c>
      <c r="G10" s="39">
        <v>687</v>
      </c>
      <c r="H10" s="67">
        <f t="shared" si="2"/>
        <v>687</v>
      </c>
      <c r="I10" s="58">
        <v>6</v>
      </c>
      <c r="J10" s="2" t="s">
        <v>53</v>
      </c>
      <c r="K10" s="58">
        <v>6</v>
      </c>
    </row>
    <row r="11" spans="3:11" x14ac:dyDescent="0.3">
      <c r="C11" s="19">
        <v>13.51</v>
      </c>
      <c r="D11" s="66">
        <f t="shared" si="0"/>
        <v>13.51</v>
      </c>
      <c r="E11" s="19">
        <v>12.29</v>
      </c>
      <c r="F11" s="66">
        <f t="shared" si="1"/>
        <v>12.29</v>
      </c>
      <c r="G11" s="39">
        <v>827</v>
      </c>
      <c r="H11" s="67">
        <f t="shared" si="2"/>
        <v>827</v>
      </c>
      <c r="I11" s="58">
        <v>7</v>
      </c>
      <c r="J11" s="2" t="s">
        <v>83</v>
      </c>
      <c r="K11" s="58">
        <v>7</v>
      </c>
    </row>
    <row r="12" spans="3:11" x14ac:dyDescent="0.3">
      <c r="C12" s="19">
        <v>0</v>
      </c>
      <c r="D12" s="66">
        <f t="shared" si="0"/>
        <v>0</v>
      </c>
      <c r="E12" s="19">
        <v>0</v>
      </c>
      <c r="F12" s="66">
        <f t="shared" si="1"/>
        <v>0</v>
      </c>
      <c r="G12" s="39">
        <v>0</v>
      </c>
      <c r="H12" s="67">
        <f t="shared" si="2"/>
        <v>0</v>
      </c>
      <c r="I12" s="58">
        <v>8</v>
      </c>
      <c r="J12" s="2" t="s">
        <v>54</v>
      </c>
      <c r="K12" s="58">
        <v>8</v>
      </c>
    </row>
    <row r="13" spans="3:11" x14ac:dyDescent="0.3">
      <c r="C13" s="19">
        <v>4.28</v>
      </c>
      <c r="D13" s="66">
        <f t="shared" si="0"/>
        <v>4.28</v>
      </c>
      <c r="E13" s="19">
        <v>3.94</v>
      </c>
      <c r="F13" s="66">
        <f t="shared" si="1"/>
        <v>3.94</v>
      </c>
      <c r="G13" s="39">
        <v>326</v>
      </c>
      <c r="H13" s="67">
        <f t="shared" si="2"/>
        <v>326</v>
      </c>
      <c r="I13" s="58">
        <v>9</v>
      </c>
      <c r="J13" s="2" t="s">
        <v>55</v>
      </c>
      <c r="K13" s="58">
        <v>9</v>
      </c>
    </row>
    <row r="14" spans="3:11" x14ac:dyDescent="0.3">
      <c r="C14" s="19">
        <v>6.41</v>
      </c>
      <c r="D14" s="66">
        <f t="shared" si="0"/>
        <v>6.41</v>
      </c>
      <c r="E14" s="19">
        <v>4.8099999999999996</v>
      </c>
      <c r="F14" s="66">
        <f t="shared" si="1"/>
        <v>4.8099999999999996</v>
      </c>
      <c r="G14" s="39">
        <v>451</v>
      </c>
      <c r="H14" s="67">
        <f t="shared" si="2"/>
        <v>451</v>
      </c>
      <c r="I14" s="58">
        <v>10</v>
      </c>
      <c r="J14" s="2" t="s">
        <v>56</v>
      </c>
      <c r="K14" s="58">
        <v>10</v>
      </c>
    </row>
    <row r="15" spans="3:11" x14ac:dyDescent="0.3">
      <c r="C15" s="19">
        <v>7.7</v>
      </c>
      <c r="D15" s="66">
        <f t="shared" si="0"/>
        <v>7.7</v>
      </c>
      <c r="E15" s="19">
        <v>6.83</v>
      </c>
      <c r="F15" s="66">
        <f t="shared" si="1"/>
        <v>6.83</v>
      </c>
      <c r="G15" s="39">
        <v>568</v>
      </c>
      <c r="H15" s="67">
        <f t="shared" si="2"/>
        <v>568</v>
      </c>
      <c r="I15" s="58">
        <v>11</v>
      </c>
      <c r="J15" s="2" t="s">
        <v>57</v>
      </c>
      <c r="K15" s="58">
        <v>11</v>
      </c>
    </row>
    <row r="16" spans="3:11" x14ac:dyDescent="0.3">
      <c r="C16" s="19">
        <v>7.73</v>
      </c>
      <c r="D16" s="66">
        <f t="shared" si="0"/>
        <v>7.73</v>
      </c>
      <c r="E16" s="19">
        <v>6.61</v>
      </c>
      <c r="F16" s="66">
        <f t="shared" si="1"/>
        <v>6.61</v>
      </c>
      <c r="G16" s="39">
        <v>568</v>
      </c>
      <c r="H16" s="67">
        <f t="shared" si="2"/>
        <v>568</v>
      </c>
      <c r="I16" s="58">
        <v>12</v>
      </c>
      <c r="J16" s="2" t="s">
        <v>58</v>
      </c>
      <c r="K16" s="58">
        <v>12</v>
      </c>
    </row>
    <row r="17" spans="3:11" x14ac:dyDescent="0.3">
      <c r="C17" s="19">
        <v>10.75</v>
      </c>
      <c r="D17" s="66">
        <f t="shared" si="0"/>
        <v>10.75</v>
      </c>
      <c r="E17" s="19">
        <v>10.45</v>
      </c>
      <c r="F17" s="66">
        <f t="shared" si="1"/>
        <v>10.45</v>
      </c>
      <c r="G17" s="39">
        <v>684</v>
      </c>
      <c r="H17" s="67">
        <f t="shared" si="2"/>
        <v>684</v>
      </c>
      <c r="I17" s="58">
        <v>13</v>
      </c>
      <c r="J17" s="2" t="s">
        <v>59</v>
      </c>
      <c r="K17" s="58">
        <v>13</v>
      </c>
    </row>
    <row r="18" spans="3:11" x14ac:dyDescent="0.3">
      <c r="C18" s="19">
        <v>12.09</v>
      </c>
      <c r="D18" s="66">
        <f t="shared" si="0"/>
        <v>12.09</v>
      </c>
      <c r="E18" s="19">
        <v>11.76</v>
      </c>
      <c r="F18" s="66">
        <f t="shared" si="1"/>
        <v>11.76</v>
      </c>
      <c r="G18" s="39">
        <v>684</v>
      </c>
      <c r="H18" s="67">
        <f t="shared" si="2"/>
        <v>684</v>
      </c>
      <c r="I18" s="58">
        <v>14</v>
      </c>
      <c r="J18" s="2" t="s">
        <v>83</v>
      </c>
      <c r="K18" s="58">
        <v>14</v>
      </c>
    </row>
    <row r="19" spans="3:11" x14ac:dyDescent="0.3">
      <c r="C19" s="19">
        <v>0</v>
      </c>
      <c r="D19" s="66">
        <f t="shared" si="0"/>
        <v>0</v>
      </c>
      <c r="E19" s="19">
        <v>0</v>
      </c>
      <c r="F19" s="66">
        <f t="shared" si="1"/>
        <v>0</v>
      </c>
      <c r="G19" s="39">
        <v>0</v>
      </c>
      <c r="H19" s="67">
        <f t="shared" si="2"/>
        <v>0</v>
      </c>
      <c r="I19" s="58">
        <v>15</v>
      </c>
      <c r="J19" s="2" t="s">
        <v>60</v>
      </c>
      <c r="K19" s="58">
        <v>15</v>
      </c>
    </row>
    <row r="20" spans="3:11" x14ac:dyDescent="0.3">
      <c r="C20" s="19">
        <v>3.45</v>
      </c>
      <c r="D20" s="66">
        <f t="shared" si="0"/>
        <v>3.45</v>
      </c>
      <c r="E20" s="19">
        <v>2.96</v>
      </c>
      <c r="F20" s="66">
        <f t="shared" si="1"/>
        <v>2.96</v>
      </c>
      <c r="G20" s="39">
        <v>239</v>
      </c>
      <c r="H20" s="67">
        <f t="shared" si="2"/>
        <v>239</v>
      </c>
      <c r="I20" s="58">
        <v>16</v>
      </c>
      <c r="J20" s="2" t="s">
        <v>61</v>
      </c>
      <c r="K20" s="58">
        <v>16</v>
      </c>
    </row>
    <row r="21" spans="3:11" x14ac:dyDescent="0.3">
      <c r="C21" s="19">
        <v>4.32</v>
      </c>
      <c r="D21" s="66">
        <f t="shared" si="0"/>
        <v>4.32</v>
      </c>
      <c r="E21" s="19">
        <v>3.84</v>
      </c>
      <c r="F21" s="66">
        <f t="shared" si="1"/>
        <v>3.84</v>
      </c>
      <c r="G21" s="39">
        <v>247</v>
      </c>
      <c r="H21" s="67">
        <f t="shared" si="2"/>
        <v>247</v>
      </c>
      <c r="I21" s="58">
        <v>17</v>
      </c>
      <c r="J21" s="2" t="s">
        <v>62</v>
      </c>
      <c r="K21" s="58">
        <v>17</v>
      </c>
    </row>
    <row r="22" spans="3:11" x14ac:dyDescent="0.3">
      <c r="C22" s="19">
        <v>6.04</v>
      </c>
      <c r="D22" s="66">
        <f t="shared" si="0"/>
        <v>6.04</v>
      </c>
      <c r="E22" s="19">
        <v>4.32</v>
      </c>
      <c r="F22" s="66">
        <f t="shared" si="1"/>
        <v>4.32</v>
      </c>
      <c r="G22" s="39">
        <v>284</v>
      </c>
      <c r="H22" s="67">
        <f t="shared" si="2"/>
        <v>284</v>
      </c>
      <c r="I22" s="58">
        <v>18</v>
      </c>
      <c r="J22" s="2" t="s">
        <v>65</v>
      </c>
      <c r="K22" s="58">
        <v>18</v>
      </c>
    </row>
    <row r="23" spans="3:11" x14ac:dyDescent="0.3">
      <c r="C23" s="19">
        <v>7.19</v>
      </c>
      <c r="D23" s="66">
        <f t="shared" si="0"/>
        <v>7.19</v>
      </c>
      <c r="E23" s="19">
        <v>5.72</v>
      </c>
      <c r="F23" s="66">
        <f t="shared" si="1"/>
        <v>5.72</v>
      </c>
      <c r="G23" s="39">
        <v>421</v>
      </c>
      <c r="H23" s="67">
        <f t="shared" si="2"/>
        <v>421</v>
      </c>
      <c r="I23" s="58">
        <v>19</v>
      </c>
      <c r="J23" s="2" t="s">
        <v>83</v>
      </c>
      <c r="K23" s="58">
        <v>19</v>
      </c>
    </row>
    <row r="24" spans="3:11" x14ac:dyDescent="0.3">
      <c r="C24" s="19">
        <v>0</v>
      </c>
      <c r="D24" s="66">
        <f t="shared" ref="D24:D25" si="3">C24/(1-$D$2)</f>
        <v>0</v>
      </c>
      <c r="E24" s="19">
        <v>0</v>
      </c>
      <c r="F24" s="66">
        <f t="shared" ref="F24:F25" si="4">E24/(1-$F$2)</f>
        <v>0</v>
      </c>
      <c r="G24" s="39">
        <v>0</v>
      </c>
      <c r="H24" s="67">
        <f t="shared" ref="H24:H25" si="5">G24/(1-$H$2)</f>
        <v>0</v>
      </c>
      <c r="I24" s="58">
        <v>20</v>
      </c>
      <c r="J24" s="2" t="s">
        <v>100</v>
      </c>
      <c r="K24" s="58">
        <v>20</v>
      </c>
    </row>
    <row r="25" spans="3:11" x14ac:dyDescent="0.3">
      <c r="C25" s="19">
        <v>17.809999999999999</v>
      </c>
      <c r="D25" s="66">
        <f t="shared" si="3"/>
        <v>17.809999999999999</v>
      </c>
      <c r="E25" s="19">
        <v>16.87</v>
      </c>
      <c r="F25" s="66">
        <f t="shared" si="4"/>
        <v>16.87</v>
      </c>
      <c r="G25" s="39">
        <v>1157</v>
      </c>
      <c r="H25" s="67">
        <f t="shared" si="5"/>
        <v>1157</v>
      </c>
      <c r="I25" s="58">
        <v>21</v>
      </c>
      <c r="J25" s="2" t="s">
        <v>101</v>
      </c>
      <c r="K25" s="58">
        <v>21</v>
      </c>
    </row>
    <row r="26" spans="3:11" x14ac:dyDescent="0.3">
      <c r="C26" s="19">
        <v>37.21</v>
      </c>
      <c r="D26" s="66">
        <f t="shared" si="0"/>
        <v>37.21</v>
      </c>
      <c r="E26" s="19">
        <v>37.21</v>
      </c>
      <c r="F26" s="66">
        <f t="shared" si="1"/>
        <v>37.21</v>
      </c>
      <c r="G26" s="39">
        <v>3305</v>
      </c>
      <c r="H26" s="67">
        <f t="shared" si="2"/>
        <v>3305</v>
      </c>
      <c r="I26" s="58">
        <v>22</v>
      </c>
      <c r="J26" s="2" t="s">
        <v>66</v>
      </c>
      <c r="K26" s="58">
        <v>22</v>
      </c>
    </row>
    <row r="27" spans="3:11" x14ac:dyDescent="0.3">
      <c r="C27" s="19">
        <v>41.59</v>
      </c>
      <c r="D27" s="66">
        <f t="shared" si="0"/>
        <v>41.59</v>
      </c>
      <c r="E27" s="19">
        <v>41.59</v>
      </c>
      <c r="F27" s="66">
        <f t="shared" si="1"/>
        <v>41.59</v>
      </c>
      <c r="G27" s="39">
        <v>3305</v>
      </c>
      <c r="H27" s="67">
        <f t="shared" si="2"/>
        <v>3305</v>
      </c>
      <c r="I27" s="58">
        <v>23</v>
      </c>
      <c r="J27" s="2" t="s">
        <v>67</v>
      </c>
      <c r="K27" s="58">
        <v>23</v>
      </c>
    </row>
    <row r="28" spans="3:11" x14ac:dyDescent="0.3">
      <c r="C28" s="19">
        <v>49.2</v>
      </c>
      <c r="D28" s="66">
        <f t="shared" si="0"/>
        <v>49.2</v>
      </c>
      <c r="E28" s="19">
        <v>49.2</v>
      </c>
      <c r="F28" s="66">
        <f t="shared" si="1"/>
        <v>49.2</v>
      </c>
      <c r="G28" s="39">
        <v>3588</v>
      </c>
      <c r="H28" s="67">
        <f t="shared" si="2"/>
        <v>3588</v>
      </c>
      <c r="I28" s="58">
        <v>24</v>
      </c>
      <c r="J28" s="2" t="s">
        <v>68</v>
      </c>
      <c r="K28" s="58">
        <v>24</v>
      </c>
    </row>
    <row r="29" spans="3:11" x14ac:dyDescent="0.3">
      <c r="C29" s="19">
        <v>54.99</v>
      </c>
      <c r="D29" s="66">
        <f t="shared" si="0"/>
        <v>54.99</v>
      </c>
      <c r="E29" s="19">
        <v>52.41</v>
      </c>
      <c r="F29" s="66">
        <f t="shared" si="1"/>
        <v>52.41</v>
      </c>
      <c r="G29" s="39">
        <v>3777</v>
      </c>
      <c r="H29" s="67">
        <f t="shared" si="2"/>
        <v>3777</v>
      </c>
      <c r="I29" s="58">
        <v>25</v>
      </c>
      <c r="J29" s="2" t="s">
        <v>69</v>
      </c>
      <c r="K29" s="58">
        <v>25</v>
      </c>
    </row>
    <row r="30" spans="3:11" x14ac:dyDescent="0.3">
      <c r="C30" s="19">
        <v>66.05</v>
      </c>
      <c r="D30" s="66">
        <f t="shared" si="0"/>
        <v>66.05</v>
      </c>
      <c r="E30" s="19">
        <v>63.85</v>
      </c>
      <c r="F30" s="66">
        <f t="shared" si="1"/>
        <v>63.85</v>
      </c>
      <c r="G30" s="39">
        <v>4249</v>
      </c>
      <c r="H30" s="67">
        <f t="shared" si="2"/>
        <v>4249</v>
      </c>
      <c r="I30" s="58">
        <v>26</v>
      </c>
      <c r="J30" s="2" t="s">
        <v>83</v>
      </c>
      <c r="K30" s="58">
        <v>26</v>
      </c>
    </row>
    <row r="31" spans="3:11" x14ac:dyDescent="0.3">
      <c r="I31" s="68">
        <v>0</v>
      </c>
      <c r="J31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Selection Sheet</vt:lpstr>
      <vt:lpstr>Data</vt:lpstr>
      <vt:lpstr>DX-Data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2026-08-06T07:04:55Z</dcterms:modified>
</cp:coreProperties>
</file>