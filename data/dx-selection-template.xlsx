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defaultThemeVersion="124226"/>
  <xr:revisionPtr revIDLastSave="0" documentId="13_ncr:1_{77A4FBCF-C1E3-4941-A6EC-612368CCCD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lection Sheet" sheetId="2" r:id="rId1"/>
    <sheet name="Data" sheetId="1" state="hidden" r:id="rId2"/>
    <sheet name="DX-Data" sheetId="19" state="hidden" r:id="rId3"/>
  </sheets>
  <definedNames>
    <definedName name="_xlnm.Print_Area" localSheetId="1">Data!$A$2:$Y$43</definedName>
  </definedNames>
  <calcPr calcId="191028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6" i="2" l="1"/>
  <c r="AH16" i="2"/>
  <c r="AI16" i="2"/>
  <c r="AJ16" i="2"/>
  <c r="AK16" i="2"/>
  <c r="AL16" i="2"/>
  <c r="AG17" i="2"/>
  <c r="AH17" i="2"/>
  <c r="AI17" i="2"/>
  <c r="AJ17" i="2"/>
  <c r="AK17" i="2"/>
  <c r="AL17" i="2"/>
  <c r="AG18" i="2"/>
  <c r="AH18" i="2"/>
  <c r="AI18" i="2"/>
  <c r="AJ18" i="2"/>
  <c r="AK18" i="2"/>
  <c r="AL18" i="2"/>
  <c r="AG19" i="2"/>
  <c r="AH19" i="2"/>
  <c r="AI19" i="2"/>
  <c r="AJ19" i="2"/>
  <c r="AK19" i="2"/>
  <c r="AL19" i="2"/>
  <c r="AN19" i="2"/>
  <c r="AO19" i="2" s="1"/>
  <c r="AG20" i="2"/>
  <c r="AH20" i="2"/>
  <c r="AI20" i="2"/>
  <c r="AJ20" i="2"/>
  <c r="AK20" i="2"/>
  <c r="AL20" i="2"/>
  <c r="AN20" i="2"/>
  <c r="AO20" i="2" s="1"/>
  <c r="AG21" i="2"/>
  <c r="AH21" i="2"/>
  <c r="AI21" i="2"/>
  <c r="AJ21" i="2"/>
  <c r="AK21" i="2"/>
  <c r="AL21" i="2"/>
  <c r="AN21" i="2"/>
  <c r="AO21" i="2" s="1"/>
  <c r="AG22" i="2"/>
  <c r="AH22" i="2"/>
  <c r="AI22" i="2"/>
  <c r="AJ22" i="2"/>
  <c r="AK22" i="2"/>
  <c r="AL22" i="2"/>
  <c r="AN22" i="2"/>
  <c r="AO22" i="2" s="1"/>
  <c r="AG23" i="2"/>
  <c r="AH23" i="2"/>
  <c r="AI23" i="2"/>
  <c r="AJ23" i="2"/>
  <c r="AK23" i="2"/>
  <c r="AL23" i="2"/>
  <c r="AN23" i="2"/>
  <c r="AO23" i="2" s="1"/>
  <c r="AG24" i="2"/>
  <c r="AH24" i="2"/>
  <c r="AI24" i="2"/>
  <c r="AJ24" i="2"/>
  <c r="AK24" i="2"/>
  <c r="AL24" i="2"/>
  <c r="AN24" i="2"/>
  <c r="AO24" i="2" s="1"/>
  <c r="AG25" i="2"/>
  <c r="AH25" i="2"/>
  <c r="AI25" i="2"/>
  <c r="AJ25" i="2"/>
  <c r="AK25" i="2"/>
  <c r="AL25" i="2"/>
  <c r="AN25" i="2"/>
  <c r="AO25" i="2" s="1"/>
  <c r="AG26" i="2"/>
  <c r="AH26" i="2"/>
  <c r="AI26" i="2"/>
  <c r="AJ26" i="2"/>
  <c r="AK26" i="2"/>
  <c r="AL26" i="2"/>
  <c r="AN26" i="2"/>
  <c r="AO26" i="2" s="1"/>
  <c r="AG27" i="2"/>
  <c r="AH27" i="2"/>
  <c r="AI27" i="2"/>
  <c r="AJ27" i="2"/>
  <c r="AK27" i="2"/>
  <c r="AL27" i="2"/>
  <c r="AN27" i="2"/>
  <c r="H27" i="2" s="1"/>
  <c r="AG28" i="2"/>
  <c r="AH28" i="2"/>
  <c r="AI28" i="2"/>
  <c r="AJ28" i="2"/>
  <c r="AK28" i="2"/>
  <c r="AL28" i="2"/>
  <c r="AN28" i="2"/>
  <c r="AO28" i="2" s="1"/>
  <c r="AG29" i="2"/>
  <c r="AH29" i="2"/>
  <c r="AI29" i="2"/>
  <c r="AJ29" i="2"/>
  <c r="AK29" i="2"/>
  <c r="AL29" i="2"/>
  <c r="AN29" i="2"/>
  <c r="AO29" i="2" s="1"/>
  <c r="AG30" i="2"/>
  <c r="AH30" i="2"/>
  <c r="AI30" i="2"/>
  <c r="AJ30" i="2"/>
  <c r="AK30" i="2"/>
  <c r="AL30" i="2"/>
  <c r="AN30" i="2"/>
  <c r="AO30" i="2" s="1"/>
  <c r="AG31" i="2"/>
  <c r="AH31" i="2"/>
  <c r="AI31" i="2"/>
  <c r="AJ31" i="2"/>
  <c r="AK31" i="2"/>
  <c r="AL31" i="2"/>
  <c r="AN31" i="2"/>
  <c r="AO31" i="2" s="1"/>
  <c r="AG32" i="2"/>
  <c r="AH32" i="2"/>
  <c r="AI32" i="2"/>
  <c r="AJ32" i="2"/>
  <c r="AK32" i="2"/>
  <c r="AL32" i="2"/>
  <c r="AN32" i="2"/>
  <c r="AO32" i="2" s="1"/>
  <c r="AG33" i="2"/>
  <c r="AH33" i="2"/>
  <c r="AI33" i="2"/>
  <c r="AJ33" i="2"/>
  <c r="AK33" i="2"/>
  <c r="AL33" i="2"/>
  <c r="AN33" i="2"/>
  <c r="AO33" i="2" s="1"/>
  <c r="AG34" i="2"/>
  <c r="AH34" i="2"/>
  <c r="AI34" i="2"/>
  <c r="AJ34" i="2"/>
  <c r="AK34" i="2"/>
  <c r="AL34" i="2"/>
  <c r="AN34" i="2"/>
  <c r="AO34" i="2" s="1"/>
  <c r="AG35" i="2"/>
  <c r="AH35" i="2"/>
  <c r="AI35" i="2"/>
  <c r="AJ35" i="2"/>
  <c r="AK35" i="2"/>
  <c r="AL35" i="2"/>
  <c r="AN35" i="2"/>
  <c r="AO35" i="2" s="1"/>
  <c r="AG36" i="2"/>
  <c r="AH36" i="2"/>
  <c r="AI36" i="2"/>
  <c r="AJ36" i="2"/>
  <c r="AK36" i="2"/>
  <c r="AL36" i="2"/>
  <c r="AN36" i="2"/>
  <c r="H36" i="2" s="1"/>
  <c r="AG37" i="2"/>
  <c r="AH37" i="2"/>
  <c r="AI37" i="2"/>
  <c r="AJ37" i="2"/>
  <c r="AK37" i="2"/>
  <c r="AL37" i="2"/>
  <c r="AN37" i="2"/>
  <c r="AO37" i="2" s="1"/>
  <c r="AG38" i="2"/>
  <c r="AH38" i="2"/>
  <c r="AI38" i="2"/>
  <c r="AJ38" i="2"/>
  <c r="AK38" i="2"/>
  <c r="AL38" i="2"/>
  <c r="AN38" i="2"/>
  <c r="AO38" i="2" s="1"/>
  <c r="AG39" i="2"/>
  <c r="AH39" i="2"/>
  <c r="AI39" i="2"/>
  <c r="AJ39" i="2"/>
  <c r="AK39" i="2"/>
  <c r="AL39" i="2"/>
  <c r="AN39" i="2"/>
  <c r="AO39" i="2" s="1"/>
  <c r="AG40" i="2"/>
  <c r="AH40" i="2"/>
  <c r="AI40" i="2"/>
  <c r="AJ40" i="2"/>
  <c r="AK40" i="2"/>
  <c r="AL40" i="2"/>
  <c r="AN40" i="2"/>
  <c r="AO40" i="2" s="1"/>
  <c r="AG41" i="2"/>
  <c r="AH41" i="2"/>
  <c r="AI41" i="2"/>
  <c r="AJ41" i="2"/>
  <c r="AK41" i="2"/>
  <c r="AL41" i="2"/>
  <c r="AN41" i="2"/>
  <c r="AO41" i="2" s="1"/>
  <c r="AG42" i="2"/>
  <c r="AH42" i="2"/>
  <c r="AI42" i="2"/>
  <c r="AJ42" i="2"/>
  <c r="AK42" i="2"/>
  <c r="AL42" i="2"/>
  <c r="AN42" i="2"/>
  <c r="AO42" i="2" s="1"/>
  <c r="H33" i="2" l="1"/>
  <c r="K33" i="2" s="1"/>
  <c r="H25" i="2"/>
  <c r="AM19" i="2"/>
  <c r="H34" i="2"/>
  <c r="M34" i="2" s="1"/>
  <c r="AM38" i="2"/>
  <c r="H21" i="2"/>
  <c r="Z21" i="2" s="1"/>
  <c r="AO36" i="2"/>
  <c r="I36" i="2" s="1"/>
  <c r="H22" i="2"/>
  <c r="P22" i="2" s="1"/>
  <c r="H19" i="2"/>
  <c r="Q19" i="2" s="1"/>
  <c r="H20" i="2"/>
  <c r="K20" i="2" s="1"/>
  <c r="H32" i="2"/>
  <c r="N32" i="2" s="1"/>
  <c r="H31" i="2"/>
  <c r="O31" i="2" s="1"/>
  <c r="H41" i="2"/>
  <c r="K41" i="2" s="1"/>
  <c r="AM37" i="2"/>
  <c r="H42" i="2"/>
  <c r="R42" i="2" s="1"/>
  <c r="H30" i="2"/>
  <c r="AM40" i="2"/>
  <c r="AM30" i="2"/>
  <c r="H29" i="2"/>
  <c r="Q29" i="2" s="1"/>
  <c r="H39" i="2"/>
  <c r="X39" i="2" s="1"/>
  <c r="AM27" i="2"/>
  <c r="AM20" i="2"/>
  <c r="AM17" i="2"/>
  <c r="AN17" i="2" s="1"/>
  <c r="AO17" i="2" s="1"/>
  <c r="AM18" i="2"/>
  <c r="AN18" i="2" s="1"/>
  <c r="AO18" i="2" s="1"/>
  <c r="H40" i="2"/>
  <c r="J40" i="2" s="1"/>
  <c r="AM36" i="2"/>
  <c r="AM39" i="2"/>
  <c r="H38" i="2"/>
  <c r="P38" i="2" s="1"/>
  <c r="AM29" i="2"/>
  <c r="H37" i="2"/>
  <c r="J37" i="2" s="1"/>
  <c r="AM16" i="2"/>
  <c r="AN16" i="2" s="1"/>
  <c r="AO16" i="2" s="1"/>
  <c r="H35" i="2"/>
  <c r="AE35" i="2" s="1"/>
  <c r="AM21" i="2"/>
  <c r="AM35" i="2"/>
  <c r="AM34" i="2"/>
  <c r="AM33" i="2"/>
  <c r="AO27" i="2"/>
  <c r="I27" i="2" s="1"/>
  <c r="H23" i="2"/>
  <c r="W23" i="2" s="1"/>
  <c r="AM22" i="2"/>
  <c r="H24" i="2"/>
  <c r="Q24" i="2" s="1"/>
  <c r="AM24" i="2"/>
  <c r="AM23" i="2"/>
  <c r="AM28" i="2"/>
  <c r="AM26" i="2"/>
  <c r="AM25" i="2"/>
  <c r="H28" i="2"/>
  <c r="K28" i="2" s="1"/>
  <c r="AM41" i="2"/>
  <c r="AM42" i="2"/>
  <c r="H26" i="2"/>
  <c r="M26" i="2" s="1"/>
  <c r="AM32" i="2"/>
  <c r="AM31" i="2"/>
  <c r="I28" i="2"/>
  <c r="I20" i="2"/>
  <c r="I19" i="2"/>
  <c r="I35" i="2"/>
  <c r="I42" i="2"/>
  <c r="I34" i="2"/>
  <c r="I26" i="2"/>
  <c r="I41" i="2"/>
  <c r="I33" i="2"/>
  <c r="I25" i="2"/>
  <c r="I40" i="2"/>
  <c r="I32" i="2"/>
  <c r="I24" i="2"/>
  <c r="I39" i="2"/>
  <c r="I31" i="2"/>
  <c r="I23" i="2"/>
  <c r="I38" i="2"/>
  <c r="I30" i="2"/>
  <c r="I22" i="2"/>
  <c r="I37" i="2"/>
  <c r="I29" i="2"/>
  <c r="I21" i="2"/>
  <c r="H2" i="19"/>
  <c r="F2" i="19"/>
  <c r="D2" i="19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U33" i="2"/>
  <c r="V33" i="2"/>
  <c r="X33" i="2"/>
  <c r="P34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T33" i="2" l="1"/>
  <c r="R33" i="2"/>
  <c r="Q33" i="2"/>
  <c r="AE31" i="2"/>
  <c r="AB31" i="2"/>
  <c r="X31" i="2"/>
  <c r="S31" i="2"/>
  <c r="AE42" i="2"/>
  <c r="L31" i="2"/>
  <c r="Z23" i="2"/>
  <c r="Z42" i="2"/>
  <c r="Y33" i="2"/>
  <c r="AE21" i="2"/>
  <c r="Y41" i="2"/>
  <c r="V41" i="2"/>
  <c r="W31" i="2"/>
  <c r="J41" i="2"/>
  <c r="L34" i="2"/>
  <c r="T31" i="2"/>
  <c r="K31" i="2"/>
  <c r="U41" i="2"/>
  <c r="Q41" i="2"/>
  <c r="M41" i="2"/>
  <c r="T34" i="2"/>
  <c r="N41" i="2"/>
  <c r="AA31" i="2"/>
  <c r="AD41" i="2"/>
  <c r="AC41" i="2"/>
  <c r="P31" i="2"/>
  <c r="Z41" i="2"/>
  <c r="W39" i="2"/>
  <c r="T39" i="2"/>
  <c r="O23" i="2"/>
  <c r="Y37" i="2"/>
  <c r="U23" i="2"/>
  <c r="P33" i="2"/>
  <c r="AA20" i="2"/>
  <c r="AD33" i="2"/>
  <c r="N33" i="2"/>
  <c r="S21" i="2"/>
  <c r="AC33" i="2"/>
  <c r="M33" i="2"/>
  <c r="AA21" i="2"/>
  <c r="AB33" i="2"/>
  <c r="L33" i="2"/>
  <c r="R41" i="2"/>
  <c r="Z33" i="2"/>
  <c r="J33" i="2"/>
  <c r="H24" i="19"/>
  <c r="H25" i="19"/>
  <c r="Z19" i="2"/>
  <c r="AD20" i="2"/>
  <c r="P39" i="2"/>
  <c r="L39" i="2"/>
  <c r="AC32" i="2"/>
  <c r="U19" i="2"/>
  <c r="J42" i="2"/>
  <c r="AE39" i="2"/>
  <c r="W35" i="2"/>
  <c r="T32" i="2"/>
  <c r="T26" i="2"/>
  <c r="X21" i="2"/>
  <c r="W38" i="2"/>
  <c r="O35" i="2"/>
  <c r="L32" i="2"/>
  <c r="P29" i="2"/>
  <c r="L26" i="2"/>
  <c r="S39" i="2"/>
  <c r="K39" i="2"/>
  <c r="U32" i="2"/>
  <c r="AB39" i="2"/>
  <c r="AA39" i="2"/>
  <c r="AB34" i="2"/>
  <c r="D25" i="19"/>
  <c r="D24" i="19"/>
  <c r="O39" i="2"/>
  <c r="F24" i="19"/>
  <c r="F25" i="19"/>
  <c r="J23" i="2"/>
  <c r="Y23" i="2"/>
  <c r="AD23" i="2"/>
  <c r="M23" i="2"/>
  <c r="T23" i="2"/>
  <c r="AA23" i="2"/>
  <c r="R23" i="2"/>
  <c r="Q23" i="2"/>
  <c r="V23" i="2"/>
  <c r="AE23" i="2"/>
  <c r="L23" i="2"/>
  <c r="S23" i="2"/>
  <c r="L35" i="2"/>
  <c r="P35" i="2"/>
  <c r="T35" i="2"/>
  <c r="X35" i="2"/>
  <c r="AB35" i="2"/>
  <c r="M35" i="2"/>
  <c r="Q35" i="2"/>
  <c r="U35" i="2"/>
  <c r="Y35" i="2"/>
  <c r="AC35" i="2"/>
  <c r="L42" i="2"/>
  <c r="P42" i="2"/>
  <c r="T42" i="2"/>
  <c r="X42" i="2"/>
  <c r="AB42" i="2"/>
  <c r="M42" i="2"/>
  <c r="Q42" i="2"/>
  <c r="U42" i="2"/>
  <c r="Y42" i="2"/>
  <c r="J19" i="2"/>
  <c r="AD19" i="2"/>
  <c r="N19" i="2"/>
  <c r="P19" i="2"/>
  <c r="AB19" i="2"/>
  <c r="S19" i="2"/>
  <c r="Y19" i="2"/>
  <c r="AE19" i="2"/>
  <c r="AC19" i="2"/>
  <c r="T19" i="2"/>
  <c r="K19" i="2"/>
  <c r="AD42" i="2"/>
  <c r="W42" i="2"/>
  <c r="O42" i="2"/>
  <c r="Q37" i="2"/>
  <c r="AD35" i="2"/>
  <c r="V35" i="2"/>
  <c r="N35" i="2"/>
  <c r="AC23" i="2"/>
  <c r="X23" i="2"/>
  <c r="AA19" i="2"/>
  <c r="X19" i="2"/>
  <c r="W19" i="2"/>
  <c r="AC42" i="2"/>
  <c r="V42" i="2"/>
  <c r="N42" i="2"/>
  <c r="AA35" i="2"/>
  <c r="S35" i="2"/>
  <c r="K35" i="2"/>
  <c r="AB23" i="2"/>
  <c r="L19" i="2"/>
  <c r="AA42" i="2"/>
  <c r="S42" i="2"/>
  <c r="K42" i="2"/>
  <c r="Z35" i="2"/>
  <c r="R35" i="2"/>
  <c r="J35" i="2"/>
  <c r="X29" i="2"/>
  <c r="K23" i="2"/>
  <c r="P23" i="2"/>
  <c r="N23" i="2"/>
  <c r="R19" i="2"/>
  <c r="M19" i="2"/>
  <c r="O19" i="2"/>
  <c r="V19" i="2"/>
  <c r="M39" i="2"/>
  <c r="Q39" i="2"/>
  <c r="U39" i="2"/>
  <c r="Y39" i="2"/>
  <c r="AC39" i="2"/>
  <c r="J39" i="2"/>
  <c r="N39" i="2"/>
  <c r="R39" i="2"/>
  <c r="V39" i="2"/>
  <c r="Z39" i="2"/>
  <c r="AD39" i="2"/>
  <c r="J30" i="2"/>
  <c r="Q30" i="2"/>
  <c r="M31" i="2"/>
  <c r="Q31" i="2"/>
  <c r="U31" i="2"/>
  <c r="Y31" i="2"/>
  <c r="AC31" i="2"/>
  <c r="J31" i="2"/>
  <c r="N31" i="2"/>
  <c r="R31" i="2"/>
  <c r="V31" i="2"/>
  <c r="Z31" i="2"/>
  <c r="AD31" i="2"/>
  <c r="N21" i="2"/>
  <c r="L21" i="2"/>
  <c r="U21" i="2"/>
  <c r="R21" i="2"/>
  <c r="W21" i="2"/>
  <c r="K21" i="2"/>
  <c r="Y21" i="2"/>
  <c r="O21" i="2"/>
  <c r="AD21" i="2"/>
  <c r="X34" i="2"/>
  <c r="AE33" i="2"/>
  <c r="AA33" i="2"/>
  <c r="W33" i="2"/>
  <c r="S33" i="2"/>
  <c r="O33" i="2"/>
  <c r="O22" i="2"/>
  <c r="AE34" i="2"/>
  <c r="S34" i="2"/>
  <c r="K34" i="2"/>
  <c r="N22" i="2"/>
  <c r="X41" i="2"/>
  <c r="P41" i="2"/>
  <c r="L41" i="2"/>
  <c r="U38" i="2"/>
  <c r="Z34" i="2"/>
  <c r="V34" i="2"/>
  <c r="N34" i="2"/>
  <c r="Q32" i="2"/>
  <c r="Z22" i="2"/>
  <c r="S22" i="2"/>
  <c r="AB22" i="2"/>
  <c r="U22" i="2"/>
  <c r="V22" i="2"/>
  <c r="Y40" i="2"/>
  <c r="AA34" i="2"/>
  <c r="W34" i="2"/>
  <c r="O34" i="2"/>
  <c r="R22" i="2"/>
  <c r="K22" i="2"/>
  <c r="AB41" i="2"/>
  <c r="T41" i="2"/>
  <c r="Q40" i="2"/>
  <c r="AD34" i="2"/>
  <c r="R34" i="2"/>
  <c r="J34" i="2"/>
  <c r="AB32" i="2"/>
  <c r="AE41" i="2"/>
  <c r="AA41" i="2"/>
  <c r="W41" i="2"/>
  <c r="S41" i="2"/>
  <c r="O41" i="2"/>
  <c r="AC34" i="2"/>
  <c r="Y34" i="2"/>
  <c r="U34" i="2"/>
  <c r="Q34" i="2"/>
  <c r="Y32" i="2"/>
  <c r="M32" i="2"/>
  <c r="V21" i="2"/>
  <c r="P21" i="2"/>
  <c r="Q21" i="2"/>
  <c r="J21" i="2"/>
  <c r="AC22" i="2"/>
  <c r="T21" i="2"/>
  <c r="AC21" i="2"/>
  <c r="AB21" i="2"/>
  <c r="O30" i="2"/>
  <c r="M20" i="2"/>
  <c r="U20" i="2"/>
  <c r="Q20" i="2"/>
  <c r="J20" i="2"/>
  <c r="L20" i="2"/>
  <c r="AC20" i="2"/>
  <c r="O20" i="2"/>
  <c r="Z20" i="2"/>
  <c r="X20" i="2"/>
  <c r="T20" i="2"/>
  <c r="W20" i="2"/>
  <c r="P20" i="2"/>
  <c r="AE30" i="2"/>
  <c r="AB20" i="2"/>
  <c r="AE20" i="2"/>
  <c r="Y30" i="2"/>
  <c r="N20" i="2"/>
  <c r="W30" i="2"/>
  <c r="S20" i="2"/>
  <c r="V20" i="2"/>
  <c r="R20" i="2"/>
  <c r="Y20" i="2"/>
  <c r="AE40" i="2"/>
  <c r="W40" i="2"/>
  <c r="O40" i="2"/>
  <c r="O38" i="2"/>
  <c r="AA32" i="2"/>
  <c r="S32" i="2"/>
  <c r="K32" i="2"/>
  <c r="J26" i="2"/>
  <c r="AA22" i="2"/>
  <c r="L22" i="2"/>
  <c r="X40" i="2"/>
  <c r="AD40" i="2"/>
  <c r="V40" i="2"/>
  <c r="N40" i="2"/>
  <c r="M38" i="2"/>
  <c r="Z32" i="2"/>
  <c r="R32" i="2"/>
  <c r="J32" i="2"/>
  <c r="M22" i="2"/>
  <c r="T22" i="2"/>
  <c r="AE22" i="2"/>
  <c r="P40" i="2"/>
  <c r="M40" i="2"/>
  <c r="AB40" i="2"/>
  <c r="T40" i="2"/>
  <c r="L40" i="2"/>
  <c r="X32" i="2"/>
  <c r="P32" i="2"/>
  <c r="AD22" i="2"/>
  <c r="U40" i="2"/>
  <c r="AA40" i="2"/>
  <c r="S40" i="2"/>
  <c r="K40" i="2"/>
  <c r="AE38" i="2"/>
  <c r="AE32" i="2"/>
  <c r="W32" i="2"/>
  <c r="O32" i="2"/>
  <c r="Q22" i="2"/>
  <c r="W22" i="2"/>
  <c r="AC40" i="2"/>
  <c r="Z40" i="2"/>
  <c r="R40" i="2"/>
  <c r="AC38" i="2"/>
  <c r="AD32" i="2"/>
  <c r="V32" i="2"/>
  <c r="AB26" i="2"/>
  <c r="X22" i="2"/>
  <c r="Y22" i="2"/>
  <c r="J22" i="2"/>
  <c r="X37" i="2"/>
  <c r="P37" i="2"/>
  <c r="AE29" i="2"/>
  <c r="W29" i="2"/>
  <c r="O29" i="2"/>
  <c r="AE37" i="2"/>
  <c r="W37" i="2"/>
  <c r="O37" i="2"/>
  <c r="AD29" i="2"/>
  <c r="V29" i="2"/>
  <c r="N29" i="2"/>
  <c r="AD37" i="2"/>
  <c r="V37" i="2"/>
  <c r="N37" i="2"/>
  <c r="AC29" i="2"/>
  <c r="U29" i="2"/>
  <c r="M29" i="2"/>
  <c r="M21" i="2"/>
  <c r="AC37" i="2"/>
  <c r="U37" i="2"/>
  <c r="M37" i="2"/>
  <c r="AB29" i="2"/>
  <c r="T29" i="2"/>
  <c r="L29" i="2"/>
  <c r="AB37" i="2"/>
  <c r="T37" i="2"/>
  <c r="L37" i="2"/>
  <c r="AA29" i="2"/>
  <c r="S29" i="2"/>
  <c r="K29" i="2"/>
  <c r="S24" i="2"/>
  <c r="AA37" i="2"/>
  <c r="S37" i="2"/>
  <c r="K37" i="2"/>
  <c r="Z29" i="2"/>
  <c r="R29" i="2"/>
  <c r="J29" i="2"/>
  <c r="AC24" i="2"/>
  <c r="Z37" i="2"/>
  <c r="R37" i="2"/>
  <c r="Y29" i="2"/>
  <c r="T24" i="2"/>
  <c r="AA24" i="2"/>
  <c r="X30" i="2"/>
  <c r="P30" i="2"/>
  <c r="AB24" i="2"/>
  <c r="AD30" i="2"/>
  <c r="V30" i="2"/>
  <c r="N30" i="2"/>
  <c r="N24" i="2"/>
  <c r="AC30" i="2"/>
  <c r="U30" i="2"/>
  <c r="M30" i="2"/>
  <c r="Y24" i="2"/>
  <c r="AB30" i="2"/>
  <c r="T30" i="2"/>
  <c r="L30" i="2"/>
  <c r="K24" i="2"/>
  <c r="AA30" i="2"/>
  <c r="S30" i="2"/>
  <c r="K30" i="2"/>
  <c r="Z30" i="2"/>
  <c r="R30" i="2"/>
  <c r="Z28" i="2"/>
  <c r="R28" i="2"/>
  <c r="J28" i="2"/>
  <c r="AD38" i="2"/>
  <c r="V38" i="2"/>
  <c r="N38" i="2"/>
  <c r="AA26" i="2"/>
  <c r="S26" i="2"/>
  <c r="K26" i="2"/>
  <c r="M24" i="2"/>
  <c r="AD24" i="2"/>
  <c r="V24" i="2"/>
  <c r="U24" i="2"/>
  <c r="O24" i="2"/>
  <c r="Z26" i="2"/>
  <c r="T38" i="2"/>
  <c r="Y26" i="2"/>
  <c r="Q26" i="2"/>
  <c r="AB38" i="2"/>
  <c r="L38" i="2"/>
  <c r="AA38" i="2"/>
  <c r="S38" i="2"/>
  <c r="K38" i="2"/>
  <c r="X26" i="2"/>
  <c r="P26" i="2"/>
  <c r="J24" i="2"/>
  <c r="X24" i="2"/>
  <c r="P24" i="2"/>
  <c r="R26" i="2"/>
  <c r="Z38" i="2"/>
  <c r="R38" i="2"/>
  <c r="J38" i="2"/>
  <c r="AE26" i="2"/>
  <c r="W26" i="2"/>
  <c r="O26" i="2"/>
  <c r="Z24" i="2"/>
  <c r="L24" i="2"/>
  <c r="Y38" i="2"/>
  <c r="Q38" i="2"/>
  <c r="AD26" i="2"/>
  <c r="V26" i="2"/>
  <c r="N26" i="2"/>
  <c r="X38" i="2"/>
  <c r="AC26" i="2"/>
  <c r="U26" i="2"/>
  <c r="Q28" i="2"/>
  <c r="X28" i="2"/>
  <c r="P28" i="2"/>
  <c r="AE28" i="2"/>
  <c r="W28" i="2"/>
  <c r="O28" i="2"/>
  <c r="AD28" i="2"/>
  <c r="V28" i="2"/>
  <c r="N28" i="2"/>
  <c r="AC28" i="2"/>
  <c r="U28" i="2"/>
  <c r="M28" i="2"/>
  <c r="AB28" i="2"/>
  <c r="T28" i="2"/>
  <c r="L28" i="2"/>
  <c r="Y28" i="2"/>
  <c r="AA28" i="2"/>
  <c r="S28" i="2"/>
  <c r="R24" i="2"/>
  <c r="W24" i="2"/>
  <c r="AE24" i="2"/>
  <c r="H5" i="19"/>
  <c r="H13" i="19"/>
  <c r="H21" i="19"/>
  <c r="H6" i="19"/>
  <c r="H14" i="19"/>
  <c r="H22" i="19"/>
  <c r="H7" i="19"/>
  <c r="H15" i="19"/>
  <c r="H23" i="19"/>
  <c r="H8" i="19"/>
  <c r="H16" i="19"/>
  <c r="H26" i="19"/>
  <c r="H9" i="19"/>
  <c r="H17" i="19"/>
  <c r="H27" i="19"/>
  <c r="H10" i="19"/>
  <c r="H18" i="19"/>
  <c r="H28" i="19"/>
  <c r="H20" i="19"/>
  <c r="H30" i="19"/>
  <c r="H11" i="19"/>
  <c r="H19" i="19"/>
  <c r="H29" i="19"/>
  <c r="H12" i="19"/>
  <c r="F6" i="19"/>
  <c r="F14" i="19"/>
  <c r="F22" i="19"/>
  <c r="F7" i="19"/>
  <c r="F15" i="19"/>
  <c r="F23" i="19"/>
  <c r="F8" i="19"/>
  <c r="F16" i="19"/>
  <c r="F26" i="19"/>
  <c r="F9" i="19"/>
  <c r="F17" i="19"/>
  <c r="F27" i="19"/>
  <c r="F10" i="19"/>
  <c r="F18" i="19"/>
  <c r="F28" i="19"/>
  <c r="F11" i="19"/>
  <c r="F19" i="19"/>
  <c r="F29" i="19"/>
  <c r="F12" i="19"/>
  <c r="F20" i="19"/>
  <c r="F30" i="19"/>
  <c r="F13" i="19"/>
  <c r="F21" i="19"/>
  <c r="F5" i="19"/>
  <c r="D6" i="19"/>
  <c r="D14" i="19"/>
  <c r="D22" i="19"/>
  <c r="D7" i="19"/>
  <c r="D15" i="19"/>
  <c r="D23" i="19"/>
  <c r="D8" i="19"/>
  <c r="D16" i="19"/>
  <c r="D26" i="19"/>
  <c r="D9" i="19"/>
  <c r="D17" i="19"/>
  <c r="D27" i="19"/>
  <c r="D10" i="19"/>
  <c r="D18" i="19"/>
  <c r="D28" i="19"/>
  <c r="D11" i="19"/>
  <c r="D19" i="19"/>
  <c r="D29" i="19"/>
  <c r="D12" i="19"/>
  <c r="D20" i="19"/>
  <c r="D30" i="19"/>
  <c r="D13" i="19"/>
  <c r="D21" i="19"/>
  <c r="D5" i="19"/>
  <c r="H18" i="2" l="1"/>
  <c r="I17" i="2"/>
  <c r="H16" i="2"/>
  <c r="I18" i="2" l="1"/>
  <c r="I16" i="2"/>
  <c r="H17" i="2"/>
  <c r="AB17" i="2" s="1"/>
  <c r="L18" i="2"/>
  <c r="T18" i="2"/>
  <c r="AB18" i="2"/>
  <c r="M18" i="2"/>
  <c r="U18" i="2"/>
  <c r="AC18" i="2"/>
  <c r="S18" i="2"/>
  <c r="N18" i="2"/>
  <c r="V18" i="2"/>
  <c r="AD18" i="2"/>
  <c r="K18" i="2"/>
  <c r="O18" i="2"/>
  <c r="W18" i="2"/>
  <c r="AE18" i="2"/>
  <c r="AA18" i="2"/>
  <c r="P18" i="2"/>
  <c r="X18" i="2"/>
  <c r="Q18" i="2"/>
  <c r="Y18" i="2"/>
  <c r="J18" i="2"/>
  <c r="R18" i="2"/>
  <c r="Z18" i="2"/>
  <c r="J16" i="2"/>
  <c r="R16" i="2"/>
  <c r="Z16" i="2"/>
  <c r="K16" i="2"/>
  <c r="S16" i="2"/>
  <c r="AA16" i="2"/>
  <c r="Y16" i="2"/>
  <c r="L16" i="2"/>
  <c r="T16" i="2"/>
  <c r="AB16" i="2"/>
  <c r="M16" i="2"/>
  <c r="U16" i="2"/>
  <c r="AC16" i="2"/>
  <c r="N16" i="2"/>
  <c r="V16" i="2"/>
  <c r="AD16" i="2"/>
  <c r="Q16" i="2"/>
  <c r="O16" i="2"/>
  <c r="W16" i="2"/>
  <c r="AE16" i="2"/>
  <c r="P16" i="2"/>
  <c r="X16" i="2"/>
  <c r="V17" i="2" l="1"/>
  <c r="O17" i="2"/>
  <c r="AE17" i="2"/>
  <c r="R17" i="2"/>
  <c r="Y17" i="2"/>
  <c r="AC17" i="2"/>
  <c r="Q17" i="2"/>
  <c r="N17" i="2"/>
  <c r="X17" i="2"/>
  <c r="M17" i="2"/>
  <c r="AA17" i="2"/>
  <c r="W17" i="2"/>
  <c r="K17" i="2"/>
  <c r="AD17" i="2"/>
  <c r="J17" i="2"/>
  <c r="S17" i="2"/>
  <c r="P17" i="2"/>
  <c r="L17" i="2"/>
  <c r="U17" i="2"/>
  <c r="T17" i="2"/>
  <c r="Z17" i="2"/>
  <c r="I43" i="2"/>
  <c r="O43" i="2" l="1"/>
  <c r="P43" i="2"/>
  <c r="Q43" i="2"/>
  <c r="T43" i="2"/>
</calcChain>
</file>

<file path=xl/sharedStrings.xml><?xml version="1.0" encoding="utf-8"?>
<sst xmlns="http://schemas.openxmlformats.org/spreadsheetml/2006/main" count="345" uniqueCount="107">
  <si>
    <t>Indoor Requirement</t>
  </si>
  <si>
    <t>Capacity (KW)</t>
  </si>
  <si>
    <t>AFR</t>
  </si>
  <si>
    <t>Temperature</t>
  </si>
  <si>
    <t>ESP</t>
  </si>
  <si>
    <t>Power Supply</t>
  </si>
  <si>
    <t>Dimensions</t>
  </si>
  <si>
    <t>Weight</t>
  </si>
  <si>
    <t>TC</t>
  </si>
  <si>
    <t>SC</t>
  </si>
  <si>
    <t>L/S</t>
  </si>
  <si>
    <t>degC</t>
  </si>
  <si>
    <t>Indoor/Outdoor</t>
  </si>
  <si>
    <t>Outdoor</t>
  </si>
  <si>
    <t>Indoor, mm</t>
  </si>
  <si>
    <t>Outdoor, mm</t>
  </si>
  <si>
    <t>Indoor</t>
  </si>
  <si>
    <t>Refrigerant</t>
  </si>
  <si>
    <t>W/W</t>
  </si>
  <si>
    <t>H</t>
  </si>
  <si>
    <t>W</t>
  </si>
  <si>
    <t>D</t>
  </si>
  <si>
    <t>kg</t>
  </si>
  <si>
    <t>DAIKIN-PROPOSED</t>
  </si>
  <si>
    <t>Model</t>
  </si>
  <si>
    <t>COP</t>
  </si>
  <si>
    <t>220-240/1/50</t>
  </si>
  <si>
    <t>380-415/3/50</t>
  </si>
  <si>
    <t>-</t>
  </si>
  <si>
    <t>TYPE</t>
  </si>
  <si>
    <t>24/16</t>
  </si>
  <si>
    <t>25/18</t>
  </si>
  <si>
    <t>R-410A</t>
  </si>
  <si>
    <t xml:space="preserve">R-32 </t>
  </si>
  <si>
    <t>SPEED</t>
  </si>
  <si>
    <t>MEDIUM</t>
  </si>
  <si>
    <t>24/17</t>
  </si>
  <si>
    <t>HIGH</t>
  </si>
  <si>
    <t>DUCTED</t>
  </si>
  <si>
    <t>MALAYSIA</t>
  </si>
  <si>
    <t>INDIA</t>
  </si>
  <si>
    <t>WALL MOUNTED</t>
  </si>
  <si>
    <t>THAILAND</t>
  </si>
  <si>
    <t>PACKAGED UNIT</t>
  </si>
  <si>
    <t>NOMINAL TR</t>
  </si>
  <si>
    <t>Type</t>
  </si>
  <si>
    <t>Non-Inverter</t>
  </si>
  <si>
    <t>Inverter</t>
  </si>
  <si>
    <t>FDMRN20AVKU - RR20AVKU</t>
  </si>
  <si>
    <t>FDMRN25AVKU - RR25AVKU</t>
  </si>
  <si>
    <t>FDMRN30AVKU - RR30AVKU</t>
  </si>
  <si>
    <t>FDMRN36AVKU - RR36AVKU</t>
  </si>
  <si>
    <t>FDMRN50AVKU - RR50AYKU</t>
  </si>
  <si>
    <t>FDMRN60AVKU - RR60AYKU</t>
  </si>
  <si>
    <t>FDMF18AVMK9 - RZF18AVMK9</t>
  </si>
  <si>
    <t>FDMF24AVMK9 - RZF24AVMK9</t>
  </si>
  <si>
    <t>FDMF30AVMK9 - RZF30AVMK9</t>
  </si>
  <si>
    <t>FDMF36AVMK - RZF36AVMK</t>
  </si>
  <si>
    <t>FDMF48AVMK - RZF48AYMK</t>
  </si>
  <si>
    <t>FDMF54AVMK - RZF54AYMK</t>
  </si>
  <si>
    <t>FTKF12TVMVZK - RKFG12TVMVZK</t>
  </si>
  <si>
    <t>FTKF18TVMUZK - RKFG18TVMUZK</t>
  </si>
  <si>
    <t>FTKF24TVMTZK - RKFG24TVMTZK</t>
  </si>
  <si>
    <t>FTKM18PVM - RKM18PVM</t>
  </si>
  <si>
    <t>FTKM24PVM - RKM24PVM</t>
  </si>
  <si>
    <t>FTKM28PVM - RKM28PVM</t>
  </si>
  <si>
    <t>UATQ180CGXY1U</t>
  </si>
  <si>
    <t>UATQ210CGXY1U</t>
  </si>
  <si>
    <t>UATQ240CGXY1U</t>
  </si>
  <si>
    <t>UATQ300CGXY1U</t>
  </si>
  <si>
    <t>Power Input, KW</t>
  </si>
  <si>
    <t xml:space="preserve">Actual </t>
  </si>
  <si>
    <t>ESMA</t>
  </si>
  <si>
    <t>SPECIFIED</t>
  </si>
  <si>
    <t>Ref</t>
  </si>
  <si>
    <t>Location</t>
  </si>
  <si>
    <t>TKw</t>
  </si>
  <si>
    <t>SKw</t>
  </si>
  <si>
    <t>PROPOSED</t>
  </si>
  <si>
    <t>Qty</t>
  </si>
  <si>
    <t>Project:</t>
  </si>
  <si>
    <t>Client:</t>
  </si>
  <si>
    <t>Match</t>
  </si>
  <si>
    <t>CHOOSE MANUALLY</t>
  </si>
  <si>
    <t>TKw Variation</t>
  </si>
  <si>
    <t>SKw Variation</t>
  </si>
  <si>
    <t>L/S Variation</t>
  </si>
  <si>
    <t>Ind</t>
  </si>
  <si>
    <t>Max Ind</t>
  </si>
  <si>
    <t>Final Selection</t>
  </si>
  <si>
    <t>Index</t>
  </si>
  <si>
    <t>Ind TKw</t>
  </si>
  <si>
    <t>TKW</t>
  </si>
  <si>
    <t>SKW</t>
  </si>
  <si>
    <t>Ind SKw</t>
  </si>
  <si>
    <t>Ind L/S</t>
  </si>
  <si>
    <t>Tkw</t>
  </si>
  <si>
    <t>Variation</t>
  </si>
  <si>
    <t>Row Labels</t>
  </si>
  <si>
    <t>Grand Total</t>
  </si>
  <si>
    <t>Model ( Indoor / Outdoor )</t>
  </si>
  <si>
    <t>Count of Qty</t>
  </si>
  <si>
    <t>DO NOT DELETE/TAMPER WITH THESE COLUMNS</t>
  </si>
  <si>
    <t>UATQ80CGXY1U</t>
  </si>
  <si>
    <t>UATQ160CGXY1U</t>
  </si>
  <si>
    <t>{Project}</t>
  </si>
  <si>
    <t>{Customer}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</si>
</sst>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u/>
      <sz val="10"/>
      <name val="Arial"/>
      <family val="2"/>
    </font>
    <font>
      <sz val="8"/>
      <color rgb="FF000000"/>
      <name val="Segoe UI"/>
      <family val="2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2" fillId="0" borderId="0"/>
    <xf numFmtId="9" fontId="7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22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2" borderId="9" xfId="0" applyFont="1" applyFill="1" applyBorder="1" applyAlignment="1" applyProtection="1">
      <alignment horizontal="center" vertical="center" wrapText="1"/>
      <protection locked="0"/>
    </xf>
    <xf numFmtId="0" fontId="1" fillId="3" borderId="2" xfId="0" applyFont="1" applyFill="1" applyBorder="1" applyAlignment="1">
      <alignment horizontal="center" wrapText="1"/>
    </xf>
    <xf numFmtId="0" fontId="1" fillId="3" borderId="14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wrapText="1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2" fontId="0" fillId="0" borderId="1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2" fontId="4" fillId="0" borderId="12" xfId="0" applyNumberFormat="1" applyFont="1" applyBorder="1" applyAlignment="1">
      <alignment horizontal="center" vertical="center" wrapText="1"/>
    </xf>
    <xf numFmtId="2" fontId="6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2" fontId="6" fillId="0" borderId="12" xfId="0" applyNumberFormat="1" applyFont="1" applyBorder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3" borderId="16" xfId="0" applyFont="1" applyFill="1" applyBorder="1" applyAlignment="1">
      <alignment horizontal="center" wrapText="1"/>
    </xf>
    <xf numFmtId="0" fontId="5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3" borderId="27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5" fillId="4" borderId="0" xfId="0" applyFont="1" applyFill="1" applyAlignment="1">
      <alignment wrapText="1"/>
    </xf>
    <xf numFmtId="0" fontId="2" fillId="4" borderId="0" xfId="0" applyFont="1" applyFill="1"/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left" wrapText="1"/>
    </xf>
    <xf numFmtId="0" fontId="0" fillId="4" borderId="0" xfId="0" applyFill="1" applyAlignment="1">
      <alignment wrapText="1"/>
    </xf>
    <xf numFmtId="0" fontId="0" fillId="4" borderId="0" xfId="0" applyFill="1"/>
    <xf numFmtId="0" fontId="8" fillId="4" borderId="0" xfId="0" applyFont="1" applyFill="1"/>
    <xf numFmtId="0" fontId="2" fillId="4" borderId="0" xfId="0" applyFont="1" applyFill="1" applyAlignment="1">
      <alignment horizontal="left" wrapText="1"/>
    </xf>
    <xf numFmtId="9" fontId="0" fillId="0" borderId="0" xfId="2" applyFont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9" fontId="2" fillId="4" borderId="1" xfId="2" applyFont="1" applyFill="1" applyBorder="1" applyAlignment="1">
      <alignment horizontal="center" wrapText="1"/>
    </xf>
    <xf numFmtId="0" fontId="2" fillId="4" borderId="0" xfId="0" applyFont="1" applyFill="1" applyAlignment="1">
      <alignment horizontal="right" wrapText="1"/>
    </xf>
    <xf numFmtId="0" fontId="0" fillId="4" borderId="0" xfId="0" applyFill="1" applyAlignment="1">
      <alignment horizontal="right" wrapText="1"/>
    </xf>
    <xf numFmtId="0" fontId="11" fillId="4" borderId="1" xfId="0" applyFont="1" applyFill="1" applyBorder="1" applyAlignment="1">
      <alignment horizontal="center" vertical="center"/>
    </xf>
    <xf numFmtId="9" fontId="0" fillId="4" borderId="0" xfId="2" applyFont="1" applyFill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18" xfId="0" applyFont="1" applyBorder="1" applyAlignment="1" applyProtection="1">
      <alignment horizontal="center" vertical="center"/>
      <protection locked="0"/>
    </xf>
    <xf numFmtId="0" fontId="0" fillId="0" borderId="2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0" xfId="0" pivotButton="1"/>
    <xf numFmtId="0" fontId="1" fillId="3" borderId="29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wrapText="1"/>
    </xf>
    <xf numFmtId="0" fontId="1" fillId="3" borderId="26" xfId="0" applyFont="1" applyFill="1" applyBorder="1" applyAlignment="1">
      <alignment horizontal="center" vertical="center" wrapText="1"/>
    </xf>
    <xf numFmtId="1" fontId="6" fillId="0" borderId="8" xfId="0" applyNumberFormat="1" applyFont="1" applyBorder="1" applyAlignment="1" applyProtection="1">
      <alignment horizontal="center" vertical="center"/>
      <protection locked="0"/>
    </xf>
    <xf numFmtId="1" fontId="6" fillId="0" borderId="13" xfId="0" applyNumberFormat="1" applyFont="1" applyBorder="1" applyAlignment="1" applyProtection="1">
      <alignment horizontal="center" vertical="center"/>
      <protection locked="0"/>
    </xf>
    <xf numFmtId="0" fontId="12" fillId="0" borderId="7" xfId="0" applyFont="1" applyBorder="1" applyAlignment="1" applyProtection="1">
      <alignment horizontal="center" vertical="center"/>
      <protection locked="0"/>
    </xf>
    <xf numFmtId="0" fontId="10" fillId="5" borderId="0" xfId="0" applyFont="1" applyFill="1" applyAlignment="1">
      <alignment horizontal="center"/>
    </xf>
    <xf numFmtId="0" fontId="1" fillId="3" borderId="15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19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wrapText="1"/>
    </xf>
    <xf numFmtId="0" fontId="1" fillId="2" borderId="24" xfId="0" applyFont="1" applyFill="1" applyBorder="1" applyAlignment="1">
      <alignment horizontal="center" wrapText="1"/>
    </xf>
    <xf numFmtId="0" fontId="1" fillId="2" borderId="25" xfId="0" applyFont="1" applyFill="1" applyBorder="1" applyAlignment="1">
      <alignment horizontal="center" wrapText="1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3" borderId="24" xfId="0" applyFont="1" applyFill="1" applyBorder="1" applyAlignment="1">
      <alignment horizontal="center" wrapText="1"/>
    </xf>
    <xf numFmtId="0" fontId="1" fillId="3" borderId="25" xfId="0" applyFont="1" applyFill="1" applyBorder="1" applyAlignment="1">
      <alignment horizont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wrapText="1"/>
    </xf>
    <xf numFmtId="0" fontId="1" fillId="3" borderId="27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wrapText="1"/>
    </xf>
    <xf numFmtId="0" fontId="1" fillId="3" borderId="5" xfId="0" applyFont="1" applyFill="1" applyBorder="1" applyAlignment="1">
      <alignment horizontal="center" wrapText="1"/>
    </xf>
    <xf numFmtId="0" fontId="1" fillId="3" borderId="6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2" borderId="7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>
      <alignment horizont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</cellXfs>
  <cellStyles count="4">
    <cellStyle name="Comma 2" xfId="3" xr:uid="{1B17E314-54A9-444A-A44C-AE34B38C0E9D}"/>
    <cellStyle name="Normal" xfId="0" builtinId="0"/>
    <cellStyle name="Normal 2" xfId="1" xr:uid="{00000000-0005-0000-0000-000001000000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trlProps/ctrlProp1.xml><?xml version="1.0" encoding="utf-8"?>
<formControlPr xmlns="http://schemas.microsoft.com/office/spreadsheetml/2009/9/main" objectType="CheckBox" fmlaLink="$F$8" lockText="1" noThreeD="1"/>
</file>

<file path=xl/ctrlProps/ctrlProp2.xml><?xml version="1.0" encoding="utf-8"?>
<formControlPr xmlns="http://schemas.microsoft.com/office/spreadsheetml/2009/9/main" objectType="CheckBox" fmlaLink="$G$8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6350</xdr:rowOff>
    </xdr:from>
    <xdr:to>
      <xdr:col>2</xdr:col>
      <xdr:colOff>546175</xdr:colOff>
      <xdr:row>2</xdr:row>
      <xdr:rowOff>38121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550" y="6350"/>
          <a:ext cx="1466925" cy="400071"/>
        </a:xfrm>
        <a:prstGeom prst="rect">
          <a:avLst/>
        </a:prstGeom>
      </xdr:spPr>
    </xdr:pic>
    <xdr:clientData/>
  </xdr:twoCellAnchor>
  <xdr:twoCellAnchor editAs="oneCell">
    <xdr:from>
      <xdr:col>28</xdr:col>
      <xdr:colOff>273050</xdr:colOff>
      <xdr:row>0</xdr:row>
      <xdr:rowOff>31750</xdr:rowOff>
    </xdr:from>
    <xdr:to>
      <xdr:col>30</xdr:col>
      <xdr:colOff>577928</xdr:colOff>
      <xdr:row>2</xdr:row>
      <xdr:rowOff>69871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00550" y="31750"/>
          <a:ext cx="1524078" cy="40642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76200</xdr:colOff>
          <xdr:row>6</xdr:row>
          <xdr:rowOff>0</xdr:rowOff>
        </xdr:from>
        <xdr:to>
          <xdr:col>6</xdr:col>
          <xdr:colOff>22860</xdr:colOff>
          <xdr:row>8</xdr:row>
          <xdr:rowOff>15240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SKw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6</xdr:row>
          <xdr:rowOff>0</xdr:rowOff>
        </xdr:from>
        <xdr:to>
          <xdr:col>7</xdr:col>
          <xdr:colOff>0</xdr:colOff>
          <xdr:row>7</xdr:row>
          <xdr:rowOff>0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LPS</a:t>
              </a:r>
            </a:p>
          </xdr:txBody>
        </xdr:sp>
        <xdr:clientData/>
      </xdr:twoCellAnchor>
    </mc:Choice>
    <mc:Fallback/>
  </mc:AlternateContent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5699.707133217591" createdVersion="8" refreshedVersion="8" minRefreshableVersion="3" recordCount="50" xr:uid="{2B4157D1-5AA2-41C4-9973-178E9BD4B370}">
  <cacheSource type="worksheet">
    <worksheetSource ref="H15:I42" sheet="Selection Sheet"/>
  </cacheSource>
  <cacheFields count="2">
    <cacheField name="Model" numFmtId="0">
      <sharedItems count="10">
        <s v=""/>
        <s v="FDMRN60AVKU - RR60AYKU" u="1"/>
        <s v="FDMRN50AVKU - RR50AYKU" u="1"/>
        <s v="FDMRN30AVKU - RR30AVKU" u="1"/>
        <s v="FTKF24TVMTZK - RKFG24TVMTZK" u="1"/>
        <s v="FTKF12TVMVZK - RKFG12TVMVZK" u="1"/>
        <s v="FTKM28PVM - RKM28PVM" u="1"/>
        <s v="FDMRN20AVKU - RR20AVKU" u="1"/>
        <s v="FDMRN36AVKU - RR36AVKU" u="1"/>
        <s v="FDMRN25AVKU - RR25AVKU" u="1"/>
      </sharedItems>
    </cacheField>
    <cacheField name="Qt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  <r>
    <x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74655B-5E75-43EE-8041-F2047C33DB2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Q16:AR18" firstHeaderRow="1" firstDataRow="1" firstDataCol="1"/>
  <pivotFields count="2">
    <pivotField axis="axisRow" showAll="0">
      <items count="11">
        <item x="0"/>
        <item m="1" x="7"/>
        <item m="1" x="9"/>
        <item m="1" x="8"/>
        <item m="1" x="5"/>
        <item m="1" x="4"/>
        <item m="1" x="6"/>
        <item m="1" x="1"/>
        <item m="1" x="2"/>
        <item m="1" x="3"/>
        <item t="default"/>
      </items>
    </pivotField>
    <pivotField dataField="1"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Count of Qty" fld="1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4F57-31F3-42C8-8828-6610FD6A6A69}">
  <sheetPr codeName="Sheet1">
    <pageSetUpPr fitToPage="1"/>
  </sheetPr>
  <dimension ref="B4:AR43"/>
  <sheetViews>
    <sheetView tabSelected="1" topLeftCell="A4" zoomScale="80" zoomScaleNormal="80" workbookViewId="0">
      <selection activeCell="F32" sqref="F32"/>
    </sheetView>
  </sheetViews>
  <sheetFormatPr defaultRowHeight="14.4" x14ac:dyDescent="0.3"/>
  <cols>
    <col min="1" max="1" width="4.88671875" customWidth="1"/>
    <col min="2" max="2" width="13.109375" style="1" bestFit="1" customWidth="1"/>
    <col min="3" max="3" width="16.109375" style="1" customWidth="1"/>
    <col min="4" max="4" width="19.44140625" style="1" bestFit="1" customWidth="1"/>
    <col min="5" max="5" width="8.88671875" style="1" customWidth="1"/>
    <col min="6" max="6" width="8.6640625" style="1" customWidth="1"/>
    <col min="7" max="7" width="8.33203125" style="1" customWidth="1"/>
    <col min="8" max="8" width="30.88671875" style="1" bestFit="1" customWidth="1"/>
    <col min="9" max="9" width="6.109375" style="1" customWidth="1"/>
    <col min="10" max="10" width="9.33203125" style="1" customWidth="1"/>
    <col min="11" max="11" width="12" style="1" customWidth="1"/>
    <col min="12" max="12" width="10.44140625" style="1" customWidth="1"/>
    <col min="13" max="13" width="8.88671875" style="1" customWidth="1"/>
    <col min="14" max="14" width="8.44140625" style="1" customWidth="1"/>
    <col min="15" max="15" width="8.109375" style="1" customWidth="1"/>
    <col min="16" max="17" width="7.33203125" style="1" customWidth="1"/>
    <col min="18" max="18" width="8.44140625" style="1" bestFit="1" customWidth="1"/>
    <col min="19" max="19" width="4.88671875" style="1" customWidth="1"/>
    <col min="20" max="20" width="6.88671875" style="1" bestFit="1" customWidth="1"/>
    <col min="21" max="21" width="5.33203125" style="1" bestFit="1" customWidth="1"/>
    <col min="22" max="22" width="3.6640625" style="1" customWidth="1"/>
    <col min="23" max="23" width="12.5546875" style="1" customWidth="1"/>
    <col min="24" max="24" width="7.44140625" style="1" customWidth="1"/>
    <col min="25" max="26" width="5.88671875" style="1" customWidth="1"/>
    <col min="27" max="27" width="5.109375" style="1" customWidth="1"/>
    <col min="28" max="28" width="9.5546875" style="1" customWidth="1"/>
    <col min="33" max="33" width="7.5546875" hidden="1" customWidth="1"/>
    <col min="34" max="35" width="13" hidden="1" customWidth="1"/>
    <col min="36" max="36" width="7.5546875" hidden="1" customWidth="1"/>
    <col min="37" max="37" width="7.44140625" hidden="1" customWidth="1"/>
    <col min="38" max="38" width="6.5546875" hidden="1" customWidth="1"/>
    <col min="39" max="39" width="7.5546875" hidden="1" customWidth="1"/>
    <col min="40" max="40" width="12.6640625" hidden="1" customWidth="1"/>
    <col min="41" max="41" width="4.109375" hidden="1" customWidth="1"/>
    <col min="43" max="43" width="12.44140625" bestFit="1" customWidth="1"/>
    <col min="44" max="44" width="11.5546875" bestFit="1" customWidth="1"/>
  </cols>
  <sheetData>
    <row r="4" spans="2:44" ht="12.9" customHeight="1" x14ac:dyDescent="0.3">
      <c r="B4" s="30" t="s">
        <v>80</v>
      </c>
      <c r="C4" s="33" t="s">
        <v>105</v>
      </c>
      <c r="D4" s="31"/>
      <c r="E4" s="31"/>
      <c r="F4" s="31"/>
      <c r="G4" s="31"/>
      <c r="H4" s="31"/>
      <c r="I4" s="31"/>
      <c r="J4" s="31"/>
      <c r="K4" s="31"/>
      <c r="L4" s="31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</row>
    <row r="5" spans="2:44" ht="12.9" customHeight="1" x14ac:dyDescent="0.3">
      <c r="B5" s="30" t="s">
        <v>81</v>
      </c>
      <c r="C5" s="33" t="s">
        <v>106</v>
      </c>
      <c r="D5" s="31"/>
      <c r="E5" s="31"/>
      <c r="F5" s="31"/>
      <c r="G5" s="31"/>
      <c r="H5" s="31"/>
      <c r="I5" s="31"/>
      <c r="J5" s="31"/>
      <c r="K5" s="31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2:44" ht="12.9" customHeight="1" x14ac:dyDescent="0.3">
      <c r="B6" s="30"/>
      <c r="C6" s="33"/>
      <c r="D6" s="31"/>
      <c r="E6" s="31"/>
      <c r="F6" s="31"/>
      <c r="G6" s="31"/>
      <c r="H6" s="31"/>
      <c r="I6" s="31"/>
      <c r="J6" s="31"/>
      <c r="K6" s="31"/>
      <c r="L6" s="31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2:44" s="48" customFormat="1" x14ac:dyDescent="0.3">
      <c r="B7" s="43"/>
      <c r="C7" s="44"/>
      <c r="D7" s="56" t="s">
        <v>82</v>
      </c>
      <c r="E7" s="58" t="s">
        <v>96</v>
      </c>
      <c r="F7" s="53"/>
      <c r="G7" s="53"/>
      <c r="H7" s="45"/>
      <c r="I7" s="46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V7" s="47"/>
      <c r="W7" s="47"/>
      <c r="X7" s="47"/>
      <c r="Y7" s="47"/>
      <c r="Z7" s="47"/>
      <c r="AA7" s="47"/>
      <c r="AB7" s="47"/>
    </row>
    <row r="8" spans="2:44" s="48" customFormat="1" hidden="1" x14ac:dyDescent="0.3">
      <c r="B8" s="43"/>
      <c r="C8" s="49"/>
      <c r="D8" s="57"/>
      <c r="E8" s="54"/>
      <c r="F8" s="54" t="b">
        <v>0</v>
      </c>
      <c r="G8" s="54" t="b">
        <v>0</v>
      </c>
      <c r="H8" s="50"/>
      <c r="I8" s="46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V8" s="47"/>
      <c r="W8" s="47"/>
      <c r="X8" s="47"/>
      <c r="Y8" s="47"/>
      <c r="Z8" s="47"/>
      <c r="AA8" s="47"/>
      <c r="AB8" s="47"/>
    </row>
    <row r="9" spans="2:44" s="48" customFormat="1" x14ac:dyDescent="0.3">
      <c r="B9" s="43"/>
      <c r="C9" s="49"/>
      <c r="D9" s="56" t="s">
        <v>97</v>
      </c>
      <c r="E9" s="55">
        <v>0</v>
      </c>
      <c r="F9" s="55">
        <v>0</v>
      </c>
      <c r="G9" s="55">
        <v>0</v>
      </c>
      <c r="H9" s="45"/>
      <c r="I9" s="46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V9" s="47"/>
      <c r="W9" s="47"/>
      <c r="X9" s="47"/>
      <c r="Y9" s="47"/>
      <c r="Z9" s="47"/>
      <c r="AA9" s="47"/>
      <c r="AB9" s="47"/>
    </row>
    <row r="10" spans="2:44" ht="5.0999999999999996" customHeight="1" thickBot="1" x14ac:dyDescent="0.35"/>
    <row r="11" spans="2:44" ht="15" customHeight="1" thickBot="1" x14ac:dyDescent="0.35">
      <c r="B11" s="93" t="s">
        <v>73</v>
      </c>
      <c r="C11" s="94"/>
      <c r="D11" s="94"/>
      <c r="E11" s="94"/>
      <c r="F11" s="94"/>
      <c r="G11" s="95"/>
      <c r="H11" s="101" t="s">
        <v>78</v>
      </c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2"/>
    </row>
    <row r="12" spans="2:44" ht="14.4" customHeight="1" x14ac:dyDescent="0.3">
      <c r="B12" s="96" t="s">
        <v>74</v>
      </c>
      <c r="C12" s="98" t="s">
        <v>45</v>
      </c>
      <c r="D12" s="98" t="s">
        <v>75</v>
      </c>
      <c r="E12" s="87" t="s">
        <v>76</v>
      </c>
      <c r="F12" s="87" t="s">
        <v>77</v>
      </c>
      <c r="G12" s="90" t="s">
        <v>10</v>
      </c>
      <c r="H12" s="78" t="s">
        <v>100</v>
      </c>
      <c r="I12" s="83" t="s">
        <v>79</v>
      </c>
      <c r="J12" s="83" t="s">
        <v>44</v>
      </c>
      <c r="K12" s="83" t="s">
        <v>45</v>
      </c>
      <c r="L12" s="83" t="s">
        <v>17</v>
      </c>
      <c r="M12" s="86" t="s">
        <v>3</v>
      </c>
      <c r="N12" s="86"/>
      <c r="O12" s="104" t="s">
        <v>1</v>
      </c>
      <c r="P12" s="104"/>
      <c r="Q12" s="29" t="s">
        <v>2</v>
      </c>
      <c r="R12" s="105" t="s">
        <v>34</v>
      </c>
      <c r="S12" s="107" t="s">
        <v>70</v>
      </c>
      <c r="T12" s="108"/>
      <c r="U12" s="86" t="s">
        <v>25</v>
      </c>
      <c r="V12" s="86" t="s">
        <v>4</v>
      </c>
      <c r="W12" s="86" t="s">
        <v>5</v>
      </c>
      <c r="X12" s="86" t="s">
        <v>6</v>
      </c>
      <c r="Y12" s="86"/>
      <c r="Z12" s="86"/>
      <c r="AA12" s="86" t="s">
        <v>6</v>
      </c>
      <c r="AB12" s="86"/>
      <c r="AC12" s="86"/>
      <c r="AD12" s="86" t="s">
        <v>7</v>
      </c>
      <c r="AE12" s="103"/>
      <c r="AG12" s="77" t="s">
        <v>102</v>
      </c>
      <c r="AH12" s="77"/>
      <c r="AI12" s="77"/>
      <c r="AJ12" s="77"/>
      <c r="AK12" s="77"/>
      <c r="AL12" s="77"/>
      <c r="AM12" s="77"/>
      <c r="AN12" s="77"/>
      <c r="AO12" s="77"/>
    </row>
    <row r="13" spans="2:44" ht="14.4" customHeight="1" x14ac:dyDescent="0.3">
      <c r="B13" s="97"/>
      <c r="C13" s="99"/>
      <c r="D13" s="99"/>
      <c r="E13" s="88"/>
      <c r="F13" s="88"/>
      <c r="G13" s="91"/>
      <c r="H13" s="79"/>
      <c r="I13" s="82"/>
      <c r="J13" s="82"/>
      <c r="K13" s="82"/>
      <c r="L13" s="82"/>
      <c r="M13" s="85" t="s">
        <v>11</v>
      </c>
      <c r="N13" s="85"/>
      <c r="O13" s="85" t="s">
        <v>8</v>
      </c>
      <c r="P13" s="85" t="s">
        <v>9</v>
      </c>
      <c r="Q13" s="85" t="s">
        <v>10</v>
      </c>
      <c r="R13" s="106"/>
      <c r="S13" s="81" t="s">
        <v>71</v>
      </c>
      <c r="T13" s="82" t="s">
        <v>72</v>
      </c>
      <c r="U13" s="85"/>
      <c r="V13" s="85"/>
      <c r="W13" s="85"/>
      <c r="X13" s="85" t="s">
        <v>14</v>
      </c>
      <c r="Y13" s="85"/>
      <c r="Z13" s="85"/>
      <c r="AA13" s="85" t="s">
        <v>15</v>
      </c>
      <c r="AB13" s="85"/>
      <c r="AC13" s="85"/>
      <c r="AD13" s="13" t="s">
        <v>16</v>
      </c>
      <c r="AE13" s="14" t="s">
        <v>13</v>
      </c>
    </row>
    <row r="14" spans="2:44" ht="22.5" customHeight="1" thickBot="1" x14ac:dyDescent="0.35">
      <c r="B14" s="97"/>
      <c r="C14" s="100"/>
      <c r="D14" s="100"/>
      <c r="E14" s="89"/>
      <c r="F14" s="89"/>
      <c r="G14" s="92"/>
      <c r="H14" s="80"/>
      <c r="I14" s="84"/>
      <c r="J14" s="82"/>
      <c r="K14" s="82"/>
      <c r="L14" s="82"/>
      <c r="M14" s="15" t="s">
        <v>16</v>
      </c>
      <c r="N14" s="15" t="s">
        <v>13</v>
      </c>
      <c r="O14" s="81"/>
      <c r="P14" s="81"/>
      <c r="Q14" s="81"/>
      <c r="R14" s="106"/>
      <c r="S14" s="82"/>
      <c r="T14" s="82"/>
      <c r="U14" s="7" t="s">
        <v>18</v>
      </c>
      <c r="V14" s="81"/>
      <c r="W14" s="81"/>
      <c r="X14" s="15" t="s">
        <v>19</v>
      </c>
      <c r="Y14" s="15" t="s">
        <v>20</v>
      </c>
      <c r="Z14" s="15" t="s">
        <v>21</v>
      </c>
      <c r="AA14" s="15" t="s">
        <v>19</v>
      </c>
      <c r="AB14" s="15" t="s">
        <v>20</v>
      </c>
      <c r="AC14" s="15" t="s">
        <v>21</v>
      </c>
      <c r="AD14" s="15" t="s">
        <v>22</v>
      </c>
      <c r="AE14" s="8" t="s">
        <v>22</v>
      </c>
      <c r="AG14" s="13" t="s">
        <v>92</v>
      </c>
      <c r="AH14" s="13" t="s">
        <v>93</v>
      </c>
      <c r="AI14" s="13" t="s">
        <v>10</v>
      </c>
      <c r="AJ14" s="13" t="s">
        <v>91</v>
      </c>
      <c r="AK14" s="13" t="s">
        <v>94</v>
      </c>
      <c r="AL14" s="13" t="s">
        <v>95</v>
      </c>
      <c r="AM14" s="13" t="s">
        <v>88</v>
      </c>
      <c r="AN14" s="13" t="s">
        <v>89</v>
      </c>
      <c r="AO14" s="13" t="s">
        <v>79</v>
      </c>
    </row>
    <row r="15" spans="2:44" ht="22.5" hidden="1" customHeight="1" thickBot="1" x14ac:dyDescent="0.35">
      <c r="B15" s="42"/>
      <c r="C15" s="39"/>
      <c r="D15" s="39"/>
      <c r="E15" s="39"/>
      <c r="F15" s="39"/>
      <c r="G15" s="40"/>
      <c r="H15" s="71" t="s">
        <v>24</v>
      </c>
      <c r="I15" s="41" t="s">
        <v>79</v>
      </c>
      <c r="J15" s="38"/>
      <c r="K15" s="38"/>
      <c r="L15" s="38"/>
      <c r="M15" s="38"/>
      <c r="N15" s="38"/>
      <c r="O15" s="38"/>
      <c r="P15" s="38"/>
      <c r="Q15" s="38"/>
      <c r="R15" s="37"/>
      <c r="S15" s="38"/>
      <c r="T15" s="38"/>
      <c r="U15" s="72"/>
      <c r="V15" s="38"/>
      <c r="W15" s="38"/>
      <c r="X15" s="38"/>
      <c r="Y15" s="38"/>
      <c r="Z15" s="38"/>
      <c r="AA15" s="38"/>
      <c r="AB15" s="38"/>
      <c r="AC15" s="38"/>
      <c r="AD15" s="38"/>
      <c r="AE15" s="73"/>
      <c r="AG15" s="13"/>
      <c r="AH15" s="13"/>
      <c r="AI15" s="13"/>
      <c r="AJ15" s="13"/>
      <c r="AK15" s="13"/>
      <c r="AL15" s="13"/>
      <c r="AM15" s="13"/>
      <c r="AN15" s="13"/>
      <c r="AO15" s="13"/>
    </row>
    <row r="16" spans="2:44" x14ac:dyDescent="0.3">
      <c r="B16" s="76"/>
      <c r="C16" s="24"/>
      <c r="D16" s="25"/>
      <c r="E16" s="24"/>
      <c r="F16" s="24"/>
      <c r="G16" s="74"/>
      <c r="H16" s="66" t="str">
        <f t="shared" ref="H16:H42" si="0">AN16</f>
        <v/>
      </c>
      <c r="I16" s="2" t="str">
        <f t="shared" ref="I16:I42" si="1">AO16</f>
        <v/>
      </c>
      <c r="J16" s="21" t="str">
        <f>IF($H16="","",VLOOKUP($H16,Data!$C$6:$Y$29,2,FALSE))</f>
        <v/>
      </c>
      <c r="K16" s="2" t="str">
        <f>IF($H16="","",VLOOKUP($H16,Data!$C$6:$Y$29,3,FALSE))</f>
        <v/>
      </c>
      <c r="L16" s="2" t="str">
        <f>IF($H16="","",VLOOKUP($H16,Data!$C$6:$Y$29,4,FALSE))</f>
        <v/>
      </c>
      <c r="M16" s="2" t="str">
        <f>IF($H16="","",VLOOKUP($H16,Data!$C$6:$Y$29,5,FALSE))</f>
        <v/>
      </c>
      <c r="N16" s="2" t="str">
        <f>IF($H16="","",VLOOKUP($H16,Data!$C$6:$Y$29,6,FALSE))</f>
        <v/>
      </c>
      <c r="O16" s="2" t="str">
        <f>IF($H16="","",VLOOKUP($H16,Data!$C$6:$Y$29,7,FALSE))</f>
        <v/>
      </c>
      <c r="P16" s="2" t="str">
        <f>IF($H16="","",VLOOKUP($H16,Data!$C$6:$Y$29,8,FALSE))</f>
        <v/>
      </c>
      <c r="Q16" s="2" t="str">
        <f>IF($H16="","",VLOOKUP($H16,Data!$C$6:$Y$29,9,FALSE))</f>
        <v/>
      </c>
      <c r="R16" s="2" t="str">
        <f>IF($H16="","",VLOOKUP($H16,Data!$C$6:$Y$29,10,FALSE))</f>
        <v/>
      </c>
      <c r="S16" s="2" t="str">
        <f>IF($H16="","",VLOOKUP($H16,Data!$C$6:$Y$29,11,FALSE))</f>
        <v/>
      </c>
      <c r="T16" s="2" t="str">
        <f>IF($H16="","",VLOOKUP($H16,Data!$C$6:$Y$29,12,FALSE))</f>
        <v/>
      </c>
      <c r="U16" s="2" t="str">
        <f>IF($H16="","",VLOOKUP($H16,Data!$C$6:$Y$29,13,FALSE))</f>
        <v/>
      </c>
      <c r="V16" s="2" t="str">
        <f>IF($H16="","",VLOOKUP($H16,Data!$C$6:$Y$29,14,FALSE))</f>
        <v/>
      </c>
      <c r="W16" s="2" t="str">
        <f>IF($H16="","",VLOOKUP($H16,Data!$C$6:$Y$29,15,FALSE))</f>
        <v/>
      </c>
      <c r="X16" s="2" t="str">
        <f>IF($H16="","",VLOOKUP($H16,Data!$C$6:$Y$29,16,FALSE))</f>
        <v/>
      </c>
      <c r="Y16" s="2" t="str">
        <f>IF($H16="","",VLOOKUP($H16,Data!$C$6:$Y$29,17,FALSE))</f>
        <v/>
      </c>
      <c r="Z16" s="2" t="str">
        <f>IF($H16="","",VLOOKUP($H16,Data!$C$6:$Y$29,18,FALSE))</f>
        <v/>
      </c>
      <c r="AA16" s="2" t="str">
        <f>IF($H16="","",VLOOKUP($H16,Data!$C$6:$Y$29,19,FALSE))</f>
        <v/>
      </c>
      <c r="AB16" s="2" t="str">
        <f>IF($H16="","",VLOOKUP($H16,Data!$C$6:$Y$29,20,FALSE))</f>
        <v/>
      </c>
      <c r="AC16" s="2" t="str">
        <f>IF($H16="","",VLOOKUP($H16,Data!$C$6:$Y$29,21,FALSE))</f>
        <v/>
      </c>
      <c r="AD16" s="2" t="str">
        <f>IF($H16="","",VLOOKUP($H16,Data!$C$6:$Y$29,22,FALSE))</f>
        <v/>
      </c>
      <c r="AE16" s="3" t="str">
        <f>IF($H16="","",VLOOKUP($H16,Data!$C$6:$Y$29,23,FALSE))</f>
        <v/>
      </c>
      <c r="AG16" s="68" t="str">
        <f>IF($E16="","",IF($C16="DUCTED",VLOOKUP($E16,'DX-Data'!$D$5:$J$11,7,TRUE),IF($C16="DECORATIVE",VLOOKUP($E16,'DX-Data'!$D$19:$J$23,7,TRUE),IF($C16="PACKAGED",VLOOKUP($E16,'DX-Data'!$D$24:$J$30,7,TRUE),IF($C16="DUCTED-INV",VLOOKUP($E16,'DX-Data'!$D$12:$J$18,7,TRUE),"CHOOSE AC TYPE")))))</f>
        <v/>
      </c>
      <c r="AH16" s="68" t="str">
        <f>IF($F$8=TRUE,IF($C16="DUCTED",VLOOKUP($F16,'DX-Data'!$F$5:$J$11,5,TRUE),IF($C16="DECORATIVE",VLOOKUP($F16,'DX-Data'!$F$19:$J$23,5,TRUE),IF($C16="PACKAGED",VLOOKUP($F16,'DX-Data'!$F$24:$J$30,5,TRUE),IF($C16="DUCTED-INV",VLOOKUP($F16,'DX-Data'!$F$12:$J$18,5,TRUE),"CHOOSE AC TYPE")))),"NO SELECTION")</f>
        <v>NO SELECTION</v>
      </c>
      <c r="AI16" s="68" t="str">
        <f>IF($G$8=TRUE,IF($C16="DUCTED",VLOOKUP($G16,'DX-Data'!$H$5:$J$11,3,TRUE),IF($C16="DECORATIVE",VLOOKUP($G16,'DX-Data'!$H$19:$J$23,3,TRUE),IF($C16="PACKAGED",VLOOKUP($G16,'DX-Data'!$H$24:$J$30,3,TRUE),IF($C16="DUCTED-INV",VLOOKUP($G16,'DX-Data'!$H$12:$J$18,3,TRUE),"CHOOSE AC TYPE")))),"NO SELECTION")</f>
        <v>NO SELECTION</v>
      </c>
      <c r="AJ16" s="69" t="str">
        <f>IF($E16="","",IF($C16="DUCTED",VLOOKUP($E16,'DX-Data'!$D$5:$J$11,6,TRUE),IF($C16="DECORATIVE",VLOOKUP($E16,'DX-Data'!$D$19:$J$23,6,TRUE),IF($C16="PACKAGED",VLOOKUP($E16,'DX-Data'!$D$24:$J$30,6,TRUE),IF($C16="DUCTED-INV",VLOOKUP($E16,'DX-Data'!$D$12:$J$18,6,TRUE),0)))))</f>
        <v/>
      </c>
      <c r="AK16" s="69">
        <f>IF($F$8=TRUE,IF($C16="DUCTED",VLOOKUP($F16,'DX-Data'!$F$5:$J$11,4,TRUE),IF($C16="DECORATIVE",VLOOKUP($F16,'DX-Data'!$F$19:$J$23,4,TRUE),IF($C16="PACKAGED",VLOOKUP($F16,'DX-Data'!$F$24:$J$30,4,TRUE),IF($C16="DUCTED-INV",VLOOKUP($F16,'DX-Data'!$F$12:$J$18,4,TRUE),"CHOOSE AC TYPE")))),0)</f>
        <v>0</v>
      </c>
      <c r="AL16" s="69">
        <f>IF($G$8=TRUE,IF($C16="DUCTED",VLOOKUP($G16,'DX-Data'!$H$5:$J$11,2,TRUE),IF($C16="DECORATIVE",VLOOKUP($G16,'DX-Data'!$H$19:$J$23,2,TRUE),IF($C16="PACKAGED",VLOOKUP($G16,'DX-Data'!$H$24:$J$30,2,TRUE),IF($C16="DUCTED-INV",VLOOKUP($G16,'DX-Data'!$H$12:$J$18,2,TRUE),"CHOOSE AC TYPE")))),0)</f>
        <v>0</v>
      </c>
      <c r="AM16" s="69">
        <f t="shared" ref="AM16:AM42" si="2">MAX(AJ16:AL16)</f>
        <v>0</v>
      </c>
      <c r="AN16" s="68" t="str">
        <f>IF(E16="","",VLOOKUP($AM16,'DX-Data'!$I$5:$J$31,2,FALSE))</f>
        <v/>
      </c>
      <c r="AO16" s="69" t="str">
        <f t="shared" ref="AO16:AO42" si="3">IF(OR(AN16="",AN16=0),"",1)</f>
        <v/>
      </c>
      <c r="AQ16" s="70" t="s">
        <v>98</v>
      </c>
      <c r="AR16" t="s">
        <v>101</v>
      </c>
    </row>
    <row r="17" spans="2:44" x14ac:dyDescent="0.3">
      <c r="B17" s="64"/>
      <c r="C17" s="24"/>
      <c r="D17" s="25"/>
      <c r="E17" s="24"/>
      <c r="F17" s="24"/>
      <c r="G17" s="74"/>
      <c r="H17" s="66" t="str">
        <f t="shared" si="0"/>
        <v/>
      </c>
      <c r="I17" s="2" t="str">
        <f t="shared" si="1"/>
        <v/>
      </c>
      <c r="J17" s="21" t="str">
        <f>IF($H17="","",VLOOKUP($H17,Data!$C$6:$Y$29,2,FALSE))</f>
        <v/>
      </c>
      <c r="K17" s="2" t="str">
        <f>IF($H17="","",VLOOKUP($H17,Data!$C$6:$Y$29,3,FALSE))</f>
        <v/>
      </c>
      <c r="L17" s="2" t="str">
        <f>IF($H17="","",VLOOKUP($H17,Data!$C$6:$Y$29,4,FALSE))</f>
        <v/>
      </c>
      <c r="M17" s="2" t="str">
        <f>IF($H17="","",VLOOKUP($H17,Data!$C$6:$Y$29,5,FALSE))</f>
        <v/>
      </c>
      <c r="N17" s="2" t="str">
        <f>IF($H17="","",VLOOKUP($H17,Data!$C$6:$Y$29,6,FALSE))</f>
        <v/>
      </c>
      <c r="O17" s="2" t="str">
        <f>IF($H17="","",VLOOKUP($H17,Data!$C$6:$Y$29,7,FALSE))</f>
        <v/>
      </c>
      <c r="P17" s="2" t="str">
        <f>IF($H17="","",VLOOKUP($H17,Data!$C$6:$Y$29,8,FALSE))</f>
        <v/>
      </c>
      <c r="Q17" s="2" t="str">
        <f>IF($H17="","",VLOOKUP($H17,Data!$C$6:$Y$29,9,FALSE))</f>
        <v/>
      </c>
      <c r="R17" s="2" t="str">
        <f>IF($H17="","",VLOOKUP($H17,Data!$C$6:$Y$29,10,FALSE))</f>
        <v/>
      </c>
      <c r="S17" s="2" t="str">
        <f>IF($H17="","",VLOOKUP($H17,Data!$C$6:$Y$29,11,FALSE))</f>
        <v/>
      </c>
      <c r="T17" s="2" t="str">
        <f>IF($H17="","",VLOOKUP($H17,Data!$C$6:$Y$29,12,FALSE))</f>
        <v/>
      </c>
      <c r="U17" s="2" t="str">
        <f>IF($H17="","",VLOOKUP($H17,Data!$C$6:$Y$29,13,FALSE))</f>
        <v/>
      </c>
      <c r="V17" s="2" t="str">
        <f>IF($H17="","",VLOOKUP($H17,Data!$C$6:$Y$29,14,FALSE))</f>
        <v/>
      </c>
      <c r="W17" s="2" t="str">
        <f>IF($H17="","",VLOOKUP($H17,Data!$C$6:$Y$29,15,FALSE))</f>
        <v/>
      </c>
      <c r="X17" s="2" t="str">
        <f>IF($H17="","",VLOOKUP($H17,Data!$C$6:$Y$29,16,FALSE))</f>
        <v/>
      </c>
      <c r="Y17" s="2" t="str">
        <f>IF($H17="","",VLOOKUP($H17,Data!$C$6:$Y$29,17,FALSE))</f>
        <v/>
      </c>
      <c r="Z17" s="2" t="str">
        <f>IF($H17="","",VLOOKUP($H17,Data!$C$6:$Y$29,18,FALSE))</f>
        <v/>
      </c>
      <c r="AA17" s="2" t="str">
        <f>IF($H17="","",VLOOKUP($H17,Data!$C$6:$Y$29,19,FALSE))</f>
        <v/>
      </c>
      <c r="AB17" s="2" t="str">
        <f>IF($H17="","",VLOOKUP($H17,Data!$C$6:$Y$29,20,FALSE))</f>
        <v/>
      </c>
      <c r="AC17" s="2" t="str">
        <f>IF($H17="","",VLOOKUP($H17,Data!$C$6:$Y$29,21,FALSE))</f>
        <v/>
      </c>
      <c r="AD17" s="2" t="str">
        <f>IF($H17="","",VLOOKUP($H17,Data!$C$6:$Y$29,22,FALSE))</f>
        <v/>
      </c>
      <c r="AE17" s="3" t="str">
        <f>IF($H17="","",VLOOKUP($H17,Data!$C$6:$Y$29,23,FALSE))</f>
        <v/>
      </c>
      <c r="AG17" s="68" t="str">
        <f>IF($E17="","",IF($C17="DUCTED",VLOOKUP($E17,'DX-Data'!$D$5:$J$11,7,TRUE),IF($C17="DECORATIVE",VLOOKUP($E17,'DX-Data'!$D$19:$J$23,7,TRUE),IF($C17="PACKAGED",VLOOKUP($E17,'DX-Data'!$D$24:$J$30,7,TRUE),IF($C17="DUCTED-INV",VLOOKUP($E17,'DX-Data'!$D$12:$J$18,7,TRUE),"CHOOSE AC TYPE")))))</f>
        <v/>
      </c>
      <c r="AH17" s="68" t="str">
        <f>IF($F$8=TRUE,IF($C17="DUCTED",VLOOKUP($F17,'DX-Data'!$F$5:$J$11,5,TRUE),IF($C17="DECORATIVE",VLOOKUP($F17,'DX-Data'!$F$19:$J$23,5,TRUE),IF($C17="PACKAGED",VLOOKUP($F17,'DX-Data'!$F$24:$J$30,5,TRUE),IF($C17="DUCTED-INV",VLOOKUP($F17,'DX-Data'!$F$12:$J$18,5,TRUE),"CHOOSE AC TYPE")))),"NO SELECTION")</f>
        <v>NO SELECTION</v>
      </c>
      <c r="AI17" s="68" t="str">
        <f>IF($G$8=TRUE,IF($C17="DUCTED",VLOOKUP($G17,'DX-Data'!$H$5:$J$11,3,TRUE),IF($C17="DECORATIVE",VLOOKUP($G17,'DX-Data'!$H$19:$J$23,3,TRUE),IF($C17="PACKAGED",VLOOKUP($G17,'DX-Data'!$H$24:$J$30,3,TRUE),IF($C17="DUCTED-INV",VLOOKUP($G17,'DX-Data'!$H$12:$J$18,3,TRUE),"CHOOSE AC TYPE")))),"NO SELECTION")</f>
        <v>NO SELECTION</v>
      </c>
      <c r="AJ17" s="69" t="str">
        <f>IF($E17="","",IF($C17="DUCTED",VLOOKUP($E17,'DX-Data'!$D$5:$J$11,6,TRUE),IF($C17="DECORATIVE",VLOOKUP($E17,'DX-Data'!$D$19:$J$23,6,TRUE),IF($C17="PACKAGED",VLOOKUP($E17,'DX-Data'!$D$24:$J$30,6,TRUE),IF($C17="DUCTED-INV",VLOOKUP($E17,'DX-Data'!$D$12:$J$18,6,TRUE),0)))))</f>
        <v/>
      </c>
      <c r="AK17" s="69">
        <f>IF($F$8=TRUE,IF($C17="DUCTED",VLOOKUP($F17,'DX-Data'!$F$5:$J$11,4,TRUE),IF($C17="DECORATIVE",VLOOKUP($F17,'DX-Data'!$F$19:$J$23,4,TRUE),IF($C17="PACKAGED",VLOOKUP($F17,'DX-Data'!$F$24:$J$30,4,TRUE),IF($C17="DUCTED-INV",VLOOKUP($F17,'DX-Data'!$F$12:$J$18,4,TRUE),"CHOOSE AC TYPE")))),0)</f>
        <v>0</v>
      </c>
      <c r="AL17" s="69">
        <f>IF($G$8=TRUE,IF($C17="DUCTED",VLOOKUP($G17,'DX-Data'!$H$5:$J$11,2,TRUE),IF($C17="DECORATIVE",VLOOKUP($G17,'DX-Data'!$H$19:$J$23,2,TRUE),IF($C17="PACKAGED",VLOOKUP($G17,'DX-Data'!$H$24:$J$30,2,TRUE),IF($C17="DUCTED-INV",VLOOKUP($G17,'DX-Data'!$H$12:$J$18,2,TRUE),"CHOOSE AC TYPE")))),0)</f>
        <v>0</v>
      </c>
      <c r="AM17" s="69">
        <f t="shared" si="2"/>
        <v>0</v>
      </c>
      <c r="AN17" s="68" t="str">
        <f>IF(E17="","",VLOOKUP($AM17,'DX-Data'!$I$5:$J$31,2,FALSE))</f>
        <v/>
      </c>
      <c r="AO17" s="69" t="str">
        <f t="shared" si="3"/>
        <v/>
      </c>
      <c r="AQ17" s="22"/>
      <c r="AR17">
        <v>50</v>
      </c>
    </row>
    <row r="18" spans="2:44" ht="13.8" customHeight="1" x14ac:dyDescent="0.3">
      <c r="B18" s="64"/>
      <c r="C18" s="24"/>
      <c r="D18" s="25"/>
      <c r="E18" s="24"/>
      <c r="F18" s="24"/>
      <c r="G18" s="74"/>
      <c r="H18" s="66" t="str">
        <f t="shared" si="0"/>
        <v/>
      </c>
      <c r="I18" s="2" t="str">
        <f t="shared" si="1"/>
        <v/>
      </c>
      <c r="J18" s="21" t="str">
        <f>IF($H18="","",VLOOKUP($H18,Data!$C$6:$Y$29,2,FALSE))</f>
        <v/>
      </c>
      <c r="K18" s="2" t="str">
        <f>IF($H18="","",VLOOKUP($H18,Data!$C$6:$Y$29,3,FALSE))</f>
        <v/>
      </c>
      <c r="L18" s="2" t="str">
        <f>IF($H18="","",VLOOKUP($H18,Data!$C$6:$Y$29,4,FALSE))</f>
        <v/>
      </c>
      <c r="M18" s="2" t="str">
        <f>IF($H18="","",VLOOKUP($H18,Data!$C$6:$Y$29,5,FALSE))</f>
        <v/>
      </c>
      <c r="N18" s="2" t="str">
        <f>IF($H18="","",VLOOKUP($H18,Data!$C$6:$Y$29,6,FALSE))</f>
        <v/>
      </c>
      <c r="O18" s="2" t="str">
        <f>IF($H18="","",VLOOKUP($H18,Data!$C$6:$Y$29,7,FALSE))</f>
        <v/>
      </c>
      <c r="P18" s="2" t="str">
        <f>IF($H18="","",VLOOKUP($H18,Data!$C$6:$Y$29,8,FALSE))</f>
        <v/>
      </c>
      <c r="Q18" s="2" t="str">
        <f>IF($H18="","",VLOOKUP($H18,Data!$C$6:$Y$29,9,FALSE))</f>
        <v/>
      </c>
      <c r="R18" s="2" t="str">
        <f>IF($H18="","",VLOOKUP($H18,Data!$C$6:$Y$29,10,FALSE))</f>
        <v/>
      </c>
      <c r="S18" s="2" t="str">
        <f>IF($H18="","",VLOOKUP($H18,Data!$C$6:$Y$29,11,FALSE))</f>
        <v/>
      </c>
      <c r="T18" s="2" t="str">
        <f>IF($H18="","",VLOOKUP($H18,Data!$C$6:$Y$29,12,FALSE))</f>
        <v/>
      </c>
      <c r="U18" s="2" t="str">
        <f>IF($H18="","",VLOOKUP($H18,Data!$C$6:$Y$29,13,FALSE))</f>
        <v/>
      </c>
      <c r="V18" s="2" t="str">
        <f>IF($H18="","",VLOOKUP($H18,Data!$C$6:$Y$29,14,FALSE))</f>
        <v/>
      </c>
      <c r="W18" s="2" t="str">
        <f>IF($H18="","",VLOOKUP($H18,Data!$C$6:$Y$29,15,FALSE))</f>
        <v/>
      </c>
      <c r="X18" s="2" t="str">
        <f>IF($H18="","",VLOOKUP($H18,Data!$C$6:$Y$29,16,FALSE))</f>
        <v/>
      </c>
      <c r="Y18" s="2" t="str">
        <f>IF($H18="","",VLOOKUP($H18,Data!$C$6:$Y$29,17,FALSE))</f>
        <v/>
      </c>
      <c r="Z18" s="2" t="str">
        <f>IF($H18="","",VLOOKUP($H18,Data!$C$6:$Y$29,18,FALSE))</f>
        <v/>
      </c>
      <c r="AA18" s="2" t="str">
        <f>IF($H18="","",VLOOKUP($H18,Data!$C$6:$Y$29,19,FALSE))</f>
        <v/>
      </c>
      <c r="AB18" s="2" t="str">
        <f>IF($H18="","",VLOOKUP($H18,Data!$C$6:$Y$29,20,FALSE))</f>
        <v/>
      </c>
      <c r="AC18" s="2" t="str">
        <f>IF($H18="","",VLOOKUP($H18,Data!$C$6:$Y$29,21,FALSE))</f>
        <v/>
      </c>
      <c r="AD18" s="2" t="str">
        <f>IF($H18="","",VLOOKUP($H18,Data!$C$6:$Y$29,22,FALSE))</f>
        <v/>
      </c>
      <c r="AE18" s="3" t="str">
        <f>IF($H18="","",VLOOKUP($H18,Data!$C$6:$Y$29,23,FALSE))</f>
        <v/>
      </c>
      <c r="AG18" s="68" t="str">
        <f>IF($E18="","",IF($C18="DUCTED",VLOOKUP($E18,'DX-Data'!$D$5:$J$11,7,TRUE),IF($C18="DECORATIVE",VLOOKUP($E18,'DX-Data'!$D$19:$J$23,7,TRUE),IF($C18="PACKAGED",VLOOKUP($E18,'DX-Data'!$D$24:$J$30,7,TRUE),IF($C18="DUCTED-INV",VLOOKUP($E18,'DX-Data'!$D$12:$J$18,7,TRUE),"CHOOSE AC TYPE")))))</f>
        <v/>
      </c>
      <c r="AH18" s="68" t="str">
        <f>IF($F$8=TRUE,IF($C18="DUCTED",VLOOKUP($F18,'DX-Data'!$F$5:$J$11,5,TRUE),IF($C18="DECORATIVE",VLOOKUP($F18,'DX-Data'!$F$19:$J$23,5,TRUE),IF($C18="PACKAGED",VLOOKUP($F18,'DX-Data'!$F$24:$J$30,5,TRUE),IF($C18="DUCTED-INV",VLOOKUP($F18,'DX-Data'!$F$12:$J$18,5,TRUE),"CHOOSE AC TYPE")))),"NO SELECTION")</f>
        <v>NO SELECTION</v>
      </c>
      <c r="AI18" s="68" t="str">
        <f>IF($G$8=TRUE,IF($C18="DUCTED",VLOOKUP($G18,'DX-Data'!$H$5:$J$11,3,TRUE),IF($C18="DECORATIVE",VLOOKUP($G18,'DX-Data'!$H$19:$J$23,3,TRUE),IF($C18="PACKAGED",VLOOKUP($G18,'DX-Data'!$H$24:$J$30,3,TRUE),IF($C18="DUCTED-INV",VLOOKUP($G18,'DX-Data'!$H$12:$J$18,3,TRUE),"CHOOSE AC TYPE")))),"NO SELECTION")</f>
        <v>NO SELECTION</v>
      </c>
      <c r="AJ18" s="69" t="str">
        <f>IF($E18="","",IF($C18="DUCTED",VLOOKUP($E18,'DX-Data'!$D$5:$J$11,6,TRUE),IF($C18="DECORATIVE",VLOOKUP($E18,'DX-Data'!$D$19:$J$23,6,TRUE),IF($C18="PACKAGED",VLOOKUP($E18,'DX-Data'!$D$24:$J$30,6,TRUE),IF($C18="DUCTED-INV",VLOOKUP($E18,'DX-Data'!$D$12:$J$18,6,TRUE),0)))))</f>
        <v/>
      </c>
      <c r="AK18" s="69">
        <f>IF($F$8=TRUE,IF($C18="DUCTED",VLOOKUP($F18,'DX-Data'!$F$5:$J$11,4,TRUE),IF($C18="DECORATIVE",VLOOKUP($F18,'DX-Data'!$F$19:$J$23,4,TRUE),IF($C18="PACKAGED",VLOOKUP($F18,'DX-Data'!$F$24:$J$30,4,TRUE),IF($C18="DUCTED-INV",VLOOKUP($F18,'DX-Data'!$F$12:$J$18,4,TRUE),"CHOOSE AC TYPE")))),0)</f>
        <v>0</v>
      </c>
      <c r="AL18" s="69">
        <f>IF($G$8=TRUE,IF($C18="DUCTED",VLOOKUP($G18,'DX-Data'!$H$5:$J$11,2,TRUE),IF($C18="DECORATIVE",VLOOKUP($G18,'DX-Data'!$H$19:$J$23,2,TRUE),IF($C18="PACKAGED",VLOOKUP($G18,'DX-Data'!$H$24:$J$30,2,TRUE),IF($C18="DUCTED-INV",VLOOKUP($G18,'DX-Data'!$H$12:$J$18,2,TRUE),"CHOOSE AC TYPE")))),0)</f>
        <v>0</v>
      </c>
      <c r="AM18" s="69">
        <f t="shared" si="2"/>
        <v>0</v>
      </c>
      <c r="AN18" s="68" t="str">
        <f>IF(E18="","",VLOOKUP($AM18,'DX-Data'!$I$5:$J$31,2,FALSE))</f>
        <v/>
      </c>
      <c r="AO18" s="69" t="str">
        <f t="shared" si="3"/>
        <v/>
      </c>
      <c r="AQ18" s="22" t="s">
        <v>99</v>
      </c>
      <c r="AR18">
        <v>50</v>
      </c>
    </row>
    <row r="19" spans="2:44" ht="13.8" customHeight="1" x14ac:dyDescent="0.3">
      <c r="B19" s="64"/>
      <c r="C19" s="24"/>
      <c r="D19" s="25"/>
      <c r="E19" s="24"/>
      <c r="F19" s="24"/>
      <c r="G19" s="74"/>
      <c r="H19" s="66" t="str">
        <f t="shared" si="0"/>
        <v/>
      </c>
      <c r="I19" s="2" t="str">
        <f t="shared" si="1"/>
        <v/>
      </c>
      <c r="J19" s="21" t="str">
        <f>IF($H19="","",VLOOKUP($H19,Data!$C$6:$Y$29,2,FALSE))</f>
        <v/>
      </c>
      <c r="K19" s="2" t="str">
        <f>IF($H19="","",VLOOKUP($H19,Data!$C$6:$Y$29,3,FALSE))</f>
        <v/>
      </c>
      <c r="L19" s="2" t="str">
        <f>IF($H19="","",VLOOKUP($H19,Data!$C$6:$Y$29,4,FALSE))</f>
        <v/>
      </c>
      <c r="M19" s="2" t="str">
        <f>IF($H19="","",VLOOKUP($H19,Data!$C$6:$Y$29,5,FALSE))</f>
        <v/>
      </c>
      <c r="N19" s="2" t="str">
        <f>IF($H19="","",VLOOKUP($H19,Data!$C$6:$Y$29,6,FALSE))</f>
        <v/>
      </c>
      <c r="O19" s="2" t="str">
        <f>IF($H19="","",VLOOKUP($H19,Data!$C$6:$Y$29,7,FALSE))</f>
        <v/>
      </c>
      <c r="P19" s="2" t="str">
        <f>IF($H19="","",VLOOKUP($H19,Data!$C$6:$Y$29,8,FALSE))</f>
        <v/>
      </c>
      <c r="Q19" s="2" t="str">
        <f>IF($H19="","",VLOOKUP($H19,Data!$C$6:$Y$29,9,FALSE))</f>
        <v/>
      </c>
      <c r="R19" s="2" t="str">
        <f>IF($H19="","",VLOOKUP($H19,Data!$C$6:$Y$29,10,FALSE))</f>
        <v/>
      </c>
      <c r="S19" s="2" t="str">
        <f>IF($H19="","",VLOOKUP($H19,Data!$C$6:$Y$29,11,FALSE))</f>
        <v/>
      </c>
      <c r="T19" s="2" t="str">
        <f>IF($H19="","",VLOOKUP($H19,Data!$C$6:$Y$29,12,FALSE))</f>
        <v/>
      </c>
      <c r="U19" s="2" t="str">
        <f>IF($H19="","",VLOOKUP($H19,Data!$C$6:$Y$29,13,FALSE))</f>
        <v/>
      </c>
      <c r="V19" s="2" t="str">
        <f>IF($H19="","",VLOOKUP($H19,Data!$C$6:$Y$29,14,FALSE))</f>
        <v/>
      </c>
      <c r="W19" s="2" t="str">
        <f>IF($H19="","",VLOOKUP($H19,Data!$C$6:$Y$29,15,FALSE))</f>
        <v/>
      </c>
      <c r="X19" s="2" t="str">
        <f>IF($H19="","",VLOOKUP($H19,Data!$C$6:$Y$29,16,FALSE))</f>
        <v/>
      </c>
      <c r="Y19" s="2" t="str">
        <f>IF($H19="","",VLOOKUP($H19,Data!$C$6:$Y$29,17,FALSE))</f>
        <v/>
      </c>
      <c r="Z19" s="2" t="str">
        <f>IF($H19="","",VLOOKUP($H19,Data!$C$6:$Y$29,18,FALSE))</f>
        <v/>
      </c>
      <c r="AA19" s="2" t="str">
        <f>IF($H19="","",VLOOKUP($H19,Data!$C$6:$Y$29,19,FALSE))</f>
        <v/>
      </c>
      <c r="AB19" s="2" t="str">
        <f>IF($H19="","",VLOOKUP($H19,Data!$C$6:$Y$29,20,FALSE))</f>
        <v/>
      </c>
      <c r="AC19" s="2" t="str">
        <f>IF($H19="","",VLOOKUP($H19,Data!$C$6:$Y$29,21,FALSE))</f>
        <v/>
      </c>
      <c r="AD19" s="2" t="str">
        <f>IF($H19="","",VLOOKUP($H19,Data!$C$6:$Y$29,22,FALSE))</f>
        <v/>
      </c>
      <c r="AE19" s="3" t="str">
        <f>IF($H19="","",VLOOKUP($H19,Data!$C$6:$Y$29,23,FALSE))</f>
        <v/>
      </c>
      <c r="AG19" s="68" t="str">
        <f>IF($E19="","",IF($C19="DUCTED",VLOOKUP($E19,'DX-Data'!$D$5:$J$11,7,TRUE),IF($C19="DECORATIVE",VLOOKUP($E19,'DX-Data'!$D$19:$J$23,7,TRUE),IF($C19="PACKAGED",VLOOKUP($E19,'DX-Data'!$D$24:$J$30,7,TRUE),IF($C19="DUCTED-INV",VLOOKUP($E19,'DX-Data'!$D$12:$J$18,7,TRUE),"CHOOSE AC TYPE")))))</f>
        <v/>
      </c>
      <c r="AH19" s="68" t="str">
        <f>IF($F$8=TRUE,IF($C19="DUCTED",VLOOKUP($F19,'DX-Data'!$F$5:$J$11,5,TRUE),IF($C19="DECORATIVE",VLOOKUP($F19,'DX-Data'!$F$19:$J$23,5,TRUE),IF($C19="PACKAGED",VLOOKUP($F19,'DX-Data'!$F$24:$J$30,5,TRUE),IF($C19="DUCTED-INV",VLOOKUP($F19,'DX-Data'!$F$12:$J$18,5,TRUE),"CHOOSE AC TYPE")))),"NO SELECTION")</f>
        <v>NO SELECTION</v>
      </c>
      <c r="AI19" s="68" t="str">
        <f>IF($G$8=TRUE,IF($C19="DUCTED",VLOOKUP($G19,'DX-Data'!$H$5:$J$11,3,TRUE),IF($C19="DECORATIVE",VLOOKUP($G19,'DX-Data'!$H$19:$J$23,3,TRUE),IF($C19="PACKAGED",VLOOKUP($G19,'DX-Data'!$H$24:$J$30,3,TRUE),IF($C19="DUCTED-INV",VLOOKUP($G19,'DX-Data'!$H$12:$J$18,3,TRUE),"CHOOSE AC TYPE")))),"NO SELECTION")</f>
        <v>NO SELECTION</v>
      </c>
      <c r="AJ19" s="69" t="str">
        <f>IF($E19="","",IF($C19="DUCTED",VLOOKUP($E19,'DX-Data'!$D$5:$J$11,6,TRUE),IF($C19="DECORATIVE",VLOOKUP($E19,'DX-Data'!$D$19:$J$23,6,TRUE),IF($C19="PACKAGED",VLOOKUP($E19,'DX-Data'!$D$24:$J$30,6,TRUE),IF($C19="DUCTED-INV",VLOOKUP($E19,'DX-Data'!$D$12:$J$18,6,TRUE),0)))))</f>
        <v/>
      </c>
      <c r="AK19" s="69">
        <f>IF($F$8=TRUE,IF($C19="DUCTED",VLOOKUP($F19,'DX-Data'!$F$5:$J$11,4,TRUE),IF($C19="DECORATIVE",VLOOKUP($F19,'DX-Data'!$F$19:$J$23,4,TRUE),IF($C19="PACKAGED",VLOOKUP($F19,'DX-Data'!$F$24:$J$30,4,TRUE),IF($C19="DUCTED-INV",VLOOKUP($F19,'DX-Data'!$F$12:$J$18,4,TRUE),"CHOOSE AC TYPE")))),0)</f>
        <v>0</v>
      </c>
      <c r="AL19" s="69">
        <f>IF($G$8=TRUE,IF($C19="DUCTED",VLOOKUP($G19,'DX-Data'!$H$5:$J$11,2,TRUE),IF($C19="DECORATIVE",VLOOKUP($G19,'DX-Data'!$H$19:$J$23,2,TRUE),IF($C19="PACKAGED",VLOOKUP($G19,'DX-Data'!$H$24:$J$30,2,TRUE),IF($C19="DUCTED-INV",VLOOKUP($G19,'DX-Data'!$H$12:$J$18,2,TRUE),"CHOOSE AC TYPE")))),0)</f>
        <v>0</v>
      </c>
      <c r="AM19" s="69">
        <f t="shared" si="2"/>
        <v>0</v>
      </c>
      <c r="AN19" s="68" t="str">
        <f>IF(E19="","",VLOOKUP($AM19,'DX-Data'!$I$5:$J$31,2,FALSE))</f>
        <v/>
      </c>
      <c r="AO19" s="69" t="str">
        <f t="shared" si="3"/>
        <v/>
      </c>
    </row>
    <row r="20" spans="2:44" ht="13.8" customHeight="1" x14ac:dyDescent="0.3">
      <c r="B20" s="64"/>
      <c r="C20" s="24"/>
      <c r="D20" s="25"/>
      <c r="E20" s="24"/>
      <c r="F20" s="24"/>
      <c r="G20" s="74"/>
      <c r="H20" s="66" t="str">
        <f t="shared" si="0"/>
        <v/>
      </c>
      <c r="I20" s="2" t="str">
        <f t="shared" si="1"/>
        <v/>
      </c>
      <c r="J20" s="21" t="str">
        <f>IF($H20="","",VLOOKUP($H20,Data!$C$6:$Y$29,2,FALSE))</f>
        <v/>
      </c>
      <c r="K20" s="2" t="str">
        <f>IF($H20="","",VLOOKUP($H20,Data!$C$6:$Y$29,3,FALSE))</f>
        <v/>
      </c>
      <c r="L20" s="2" t="str">
        <f>IF($H20="","",VLOOKUP($H20,Data!$C$6:$Y$29,4,FALSE))</f>
        <v/>
      </c>
      <c r="M20" s="2" t="str">
        <f>IF($H20="","",VLOOKUP($H20,Data!$C$6:$Y$29,5,FALSE))</f>
        <v/>
      </c>
      <c r="N20" s="2" t="str">
        <f>IF($H20="","",VLOOKUP($H20,Data!$C$6:$Y$29,6,FALSE))</f>
        <v/>
      </c>
      <c r="O20" s="2" t="str">
        <f>IF($H20="","",VLOOKUP($H20,Data!$C$6:$Y$29,7,FALSE))</f>
        <v/>
      </c>
      <c r="P20" s="2" t="str">
        <f>IF($H20="","",VLOOKUP($H20,Data!$C$6:$Y$29,8,FALSE))</f>
        <v/>
      </c>
      <c r="Q20" s="2" t="str">
        <f>IF($H20="","",VLOOKUP($H20,Data!$C$6:$Y$29,9,FALSE))</f>
        <v/>
      </c>
      <c r="R20" s="2" t="str">
        <f>IF($H20="","",VLOOKUP($H20,Data!$C$6:$Y$29,10,FALSE))</f>
        <v/>
      </c>
      <c r="S20" s="2" t="str">
        <f>IF($H20="","",VLOOKUP($H20,Data!$C$6:$Y$29,11,FALSE))</f>
        <v/>
      </c>
      <c r="T20" s="2" t="str">
        <f>IF($H20="","",VLOOKUP($H20,Data!$C$6:$Y$29,12,FALSE))</f>
        <v/>
      </c>
      <c r="U20" s="2" t="str">
        <f>IF($H20="","",VLOOKUP($H20,Data!$C$6:$Y$29,13,FALSE))</f>
        <v/>
      </c>
      <c r="V20" s="2" t="str">
        <f>IF($H20="","",VLOOKUP($H20,Data!$C$6:$Y$29,14,FALSE))</f>
        <v/>
      </c>
      <c r="W20" s="2" t="str">
        <f>IF($H20="","",VLOOKUP($H20,Data!$C$6:$Y$29,15,FALSE))</f>
        <v/>
      </c>
      <c r="X20" s="2" t="str">
        <f>IF($H20="","",VLOOKUP($H20,Data!$C$6:$Y$29,16,FALSE))</f>
        <v/>
      </c>
      <c r="Y20" s="2" t="str">
        <f>IF($H20="","",VLOOKUP($H20,Data!$C$6:$Y$29,17,FALSE))</f>
        <v/>
      </c>
      <c r="Z20" s="2" t="str">
        <f>IF($H20="","",VLOOKUP($H20,Data!$C$6:$Y$29,18,FALSE))</f>
        <v/>
      </c>
      <c r="AA20" s="2" t="str">
        <f>IF($H20="","",VLOOKUP($H20,Data!$C$6:$Y$29,19,FALSE))</f>
        <v/>
      </c>
      <c r="AB20" s="2" t="str">
        <f>IF($H20="","",VLOOKUP($H20,Data!$C$6:$Y$29,20,FALSE))</f>
        <v/>
      </c>
      <c r="AC20" s="2" t="str">
        <f>IF($H20="","",VLOOKUP($H20,Data!$C$6:$Y$29,21,FALSE))</f>
        <v/>
      </c>
      <c r="AD20" s="2" t="str">
        <f>IF($H20="","",VLOOKUP($H20,Data!$C$6:$Y$29,22,FALSE))</f>
        <v/>
      </c>
      <c r="AE20" s="3" t="str">
        <f>IF($H20="","",VLOOKUP($H20,Data!$C$6:$Y$29,23,FALSE))</f>
        <v/>
      </c>
      <c r="AG20" s="68" t="str">
        <f>IF($E20="","",IF($C20="DUCTED",VLOOKUP($E20,'DX-Data'!$D$5:$J$11,7,TRUE),IF($C20="DECORATIVE",VLOOKUP($E20,'DX-Data'!$D$19:$J$23,7,TRUE),IF($C20="PACKAGED",VLOOKUP($E20,'DX-Data'!$D$24:$J$30,7,TRUE),IF($C20="DUCTED-INV",VLOOKUP($E20,'DX-Data'!$D$12:$J$18,7,TRUE),"CHOOSE AC TYPE")))))</f>
        <v/>
      </c>
      <c r="AH20" s="68" t="str">
        <f>IF($F$8=TRUE,IF($C20="DUCTED",VLOOKUP($F20,'DX-Data'!$F$5:$J$11,5,TRUE),IF($C20="DECORATIVE",VLOOKUP($F20,'DX-Data'!$F$19:$J$23,5,TRUE),IF($C20="PACKAGED",VLOOKUP($F20,'DX-Data'!$F$24:$J$30,5,TRUE),IF($C20="DUCTED-INV",VLOOKUP($F20,'DX-Data'!$F$12:$J$18,5,TRUE),"CHOOSE AC TYPE")))),"NO SELECTION")</f>
        <v>NO SELECTION</v>
      </c>
      <c r="AI20" s="68" t="str">
        <f>IF($G$8=TRUE,IF($C20="DUCTED",VLOOKUP($G20,'DX-Data'!$H$5:$J$11,3,TRUE),IF($C20="DECORATIVE",VLOOKUP($G20,'DX-Data'!$H$19:$J$23,3,TRUE),IF($C20="PACKAGED",VLOOKUP($G20,'DX-Data'!$H$24:$J$30,3,TRUE),IF($C20="DUCTED-INV",VLOOKUP($G20,'DX-Data'!$H$12:$J$18,3,TRUE),"CHOOSE AC TYPE")))),"NO SELECTION")</f>
        <v>NO SELECTION</v>
      </c>
      <c r="AJ20" s="69" t="str">
        <f>IF($E20="","",IF($C20="DUCTED",VLOOKUP($E20,'DX-Data'!$D$5:$J$11,6,TRUE),IF($C20="DECORATIVE",VLOOKUP($E20,'DX-Data'!$D$19:$J$23,6,TRUE),IF($C20="PACKAGED",VLOOKUP($E20,'DX-Data'!$D$24:$J$30,6,TRUE),IF($C20="DUCTED-INV",VLOOKUP($E20,'DX-Data'!$D$12:$J$18,6,TRUE),0)))))</f>
        <v/>
      </c>
      <c r="AK20" s="69">
        <f>IF($F$8=TRUE,IF($C20="DUCTED",VLOOKUP($F20,'DX-Data'!$F$5:$J$11,4,TRUE),IF($C20="DECORATIVE",VLOOKUP($F20,'DX-Data'!$F$19:$J$23,4,TRUE),IF($C20="PACKAGED",VLOOKUP($F20,'DX-Data'!$F$24:$J$30,4,TRUE),IF($C20="DUCTED-INV",VLOOKUP($F20,'DX-Data'!$F$12:$J$18,4,TRUE),"CHOOSE AC TYPE")))),0)</f>
        <v>0</v>
      </c>
      <c r="AL20" s="69">
        <f>IF($G$8=TRUE,IF($C20="DUCTED",VLOOKUP($G20,'DX-Data'!$H$5:$J$11,2,TRUE),IF($C20="DECORATIVE",VLOOKUP($G20,'DX-Data'!$H$19:$J$23,2,TRUE),IF($C20="PACKAGED",VLOOKUP($G20,'DX-Data'!$H$24:$J$30,2,TRUE),IF($C20="DUCTED-INV",VLOOKUP($G20,'DX-Data'!$H$12:$J$18,2,TRUE),"CHOOSE AC TYPE")))),0)</f>
        <v>0</v>
      </c>
      <c r="AM20" s="69">
        <f t="shared" si="2"/>
        <v>0</v>
      </c>
      <c r="AN20" s="68" t="str">
        <f>IF(E20="","",VLOOKUP($AM20,'DX-Data'!$I$5:$J$31,2,FALSE))</f>
        <v/>
      </c>
      <c r="AO20" s="69" t="str">
        <f t="shared" si="3"/>
        <v/>
      </c>
    </row>
    <row r="21" spans="2:44" ht="13.8" customHeight="1" x14ac:dyDescent="0.3">
      <c r="B21" s="64"/>
      <c r="C21" s="24"/>
      <c r="D21" s="25"/>
      <c r="E21" s="24"/>
      <c r="F21" s="24"/>
      <c r="G21" s="74"/>
      <c r="H21" s="66" t="str">
        <f t="shared" si="0"/>
        <v/>
      </c>
      <c r="I21" s="2" t="str">
        <f t="shared" si="1"/>
        <v/>
      </c>
      <c r="J21" s="21" t="str">
        <f>IF($H21="","",VLOOKUP($H21,Data!$C$6:$Y$29,2,FALSE))</f>
        <v/>
      </c>
      <c r="K21" s="2" t="str">
        <f>IF($H21="","",VLOOKUP($H21,Data!$C$6:$Y$29,3,FALSE))</f>
        <v/>
      </c>
      <c r="L21" s="2" t="str">
        <f>IF($H21="","",VLOOKUP($H21,Data!$C$6:$Y$29,4,FALSE))</f>
        <v/>
      </c>
      <c r="M21" s="2" t="str">
        <f>IF($H21="","",VLOOKUP($H21,Data!$C$6:$Y$29,5,FALSE))</f>
        <v/>
      </c>
      <c r="N21" s="2" t="str">
        <f>IF($H21="","",VLOOKUP($H21,Data!$C$6:$Y$29,6,FALSE))</f>
        <v/>
      </c>
      <c r="O21" s="2" t="str">
        <f>IF($H21="","",VLOOKUP($H21,Data!$C$6:$Y$29,7,FALSE))</f>
        <v/>
      </c>
      <c r="P21" s="2" t="str">
        <f>IF($H21="","",VLOOKUP($H21,Data!$C$6:$Y$29,8,FALSE))</f>
        <v/>
      </c>
      <c r="Q21" s="2" t="str">
        <f>IF($H21="","",VLOOKUP($H21,Data!$C$6:$Y$29,9,FALSE))</f>
        <v/>
      </c>
      <c r="R21" s="2" t="str">
        <f>IF($H21="","",VLOOKUP($H21,Data!$C$6:$Y$29,10,FALSE))</f>
        <v/>
      </c>
      <c r="S21" s="2" t="str">
        <f>IF($H21="","",VLOOKUP($H21,Data!$C$6:$Y$29,11,FALSE))</f>
        <v/>
      </c>
      <c r="T21" s="2" t="str">
        <f>IF($H21="","",VLOOKUP($H21,Data!$C$6:$Y$29,12,FALSE))</f>
        <v/>
      </c>
      <c r="U21" s="2" t="str">
        <f>IF($H21="","",VLOOKUP($H21,Data!$C$6:$Y$29,13,FALSE))</f>
        <v/>
      </c>
      <c r="V21" s="2" t="str">
        <f>IF($H21="","",VLOOKUP($H21,Data!$C$6:$Y$29,14,FALSE))</f>
        <v/>
      </c>
      <c r="W21" s="2" t="str">
        <f>IF($H21="","",VLOOKUP($H21,Data!$C$6:$Y$29,15,FALSE))</f>
        <v/>
      </c>
      <c r="X21" s="2" t="str">
        <f>IF($H21="","",VLOOKUP($H21,Data!$C$6:$Y$29,16,FALSE))</f>
        <v/>
      </c>
      <c r="Y21" s="2" t="str">
        <f>IF($H21="","",VLOOKUP($H21,Data!$C$6:$Y$29,17,FALSE))</f>
        <v/>
      </c>
      <c r="Z21" s="2" t="str">
        <f>IF($H21="","",VLOOKUP($H21,Data!$C$6:$Y$29,18,FALSE))</f>
        <v/>
      </c>
      <c r="AA21" s="2" t="str">
        <f>IF($H21="","",VLOOKUP($H21,Data!$C$6:$Y$29,19,FALSE))</f>
        <v/>
      </c>
      <c r="AB21" s="2" t="str">
        <f>IF($H21="","",VLOOKUP($H21,Data!$C$6:$Y$29,20,FALSE))</f>
        <v/>
      </c>
      <c r="AC21" s="2" t="str">
        <f>IF($H21="","",VLOOKUP($H21,Data!$C$6:$Y$29,21,FALSE))</f>
        <v/>
      </c>
      <c r="AD21" s="2" t="str">
        <f>IF($H21="","",VLOOKUP($H21,Data!$C$6:$Y$29,22,FALSE))</f>
        <v/>
      </c>
      <c r="AE21" s="3" t="str">
        <f>IF($H21="","",VLOOKUP($H21,Data!$C$6:$Y$29,23,FALSE))</f>
        <v/>
      </c>
      <c r="AG21" s="68" t="str">
        <f>IF($E21="","",IF($C21="DUCTED",VLOOKUP($E21,'DX-Data'!$D$5:$J$11,7,TRUE),IF($C21="DECORATIVE",VLOOKUP($E21,'DX-Data'!$D$19:$J$23,7,TRUE),IF($C21="PACKAGED",VLOOKUP($E21,'DX-Data'!$D$24:$J$30,7,TRUE),IF($C21="DUCTED-INV",VLOOKUP($E21,'DX-Data'!$D$12:$J$18,7,TRUE),"CHOOSE AC TYPE")))))</f>
        <v/>
      </c>
      <c r="AH21" s="68" t="str">
        <f>IF($F$8=TRUE,IF($C21="DUCTED",VLOOKUP($F21,'DX-Data'!$F$5:$J$11,5,TRUE),IF($C21="DECORATIVE",VLOOKUP($F21,'DX-Data'!$F$19:$J$23,5,TRUE),IF($C21="PACKAGED",VLOOKUP($F21,'DX-Data'!$F$24:$J$30,5,TRUE),IF($C21="DUCTED-INV",VLOOKUP($F21,'DX-Data'!$F$12:$J$18,5,TRUE),"CHOOSE AC TYPE")))),"NO SELECTION")</f>
        <v>NO SELECTION</v>
      </c>
      <c r="AI21" s="68" t="str">
        <f>IF($G$8=TRUE,IF($C21="DUCTED",VLOOKUP($G21,'DX-Data'!$H$5:$J$11,3,TRUE),IF($C21="DECORATIVE",VLOOKUP($G21,'DX-Data'!$H$19:$J$23,3,TRUE),IF($C21="PACKAGED",VLOOKUP($G21,'DX-Data'!$H$24:$J$30,3,TRUE),IF($C21="DUCTED-INV",VLOOKUP($G21,'DX-Data'!$H$12:$J$18,3,TRUE),"CHOOSE AC TYPE")))),"NO SELECTION")</f>
        <v>NO SELECTION</v>
      </c>
      <c r="AJ21" s="69" t="str">
        <f>IF($E21="","",IF($C21="DUCTED",VLOOKUP($E21,'DX-Data'!$D$5:$J$11,6,TRUE),IF($C21="DECORATIVE",VLOOKUP($E21,'DX-Data'!$D$19:$J$23,6,TRUE),IF($C21="PACKAGED",VLOOKUP($E21,'DX-Data'!$D$24:$J$30,6,TRUE),IF($C21="DUCTED-INV",VLOOKUP($E21,'DX-Data'!$D$12:$J$18,6,TRUE),0)))))</f>
        <v/>
      </c>
      <c r="AK21" s="69">
        <f>IF($F$8=TRUE,IF($C21="DUCTED",VLOOKUP($F21,'DX-Data'!$F$5:$J$11,4,TRUE),IF($C21="DECORATIVE",VLOOKUP($F21,'DX-Data'!$F$19:$J$23,4,TRUE),IF($C21="PACKAGED",VLOOKUP($F21,'DX-Data'!$F$24:$J$30,4,TRUE),IF($C21="DUCTED-INV",VLOOKUP($F21,'DX-Data'!$F$12:$J$18,4,TRUE),"CHOOSE AC TYPE")))),0)</f>
        <v>0</v>
      </c>
      <c r="AL21" s="69">
        <f>IF($G$8=TRUE,IF($C21="DUCTED",VLOOKUP($G21,'DX-Data'!$H$5:$J$11,2,TRUE),IF($C21="DECORATIVE",VLOOKUP($G21,'DX-Data'!$H$19:$J$23,2,TRUE),IF($C21="PACKAGED",VLOOKUP($G21,'DX-Data'!$H$24:$J$30,2,TRUE),IF($C21="DUCTED-INV",VLOOKUP($G21,'DX-Data'!$H$12:$J$18,2,TRUE),"CHOOSE AC TYPE")))),0)</f>
        <v>0</v>
      </c>
      <c r="AM21" s="69">
        <f t="shared" si="2"/>
        <v>0</v>
      </c>
      <c r="AN21" s="68" t="str">
        <f>IF(E21="","",VLOOKUP($AM21,'DX-Data'!$I$5:$J$31,2,FALSE))</f>
        <v/>
      </c>
      <c r="AO21" s="69" t="str">
        <f t="shared" si="3"/>
        <v/>
      </c>
    </row>
    <row r="22" spans="2:44" ht="13.8" customHeight="1" x14ac:dyDescent="0.3">
      <c r="B22" s="64"/>
      <c r="C22" s="24"/>
      <c r="D22" s="25"/>
      <c r="E22" s="24"/>
      <c r="F22" s="24"/>
      <c r="G22" s="74"/>
      <c r="H22" s="66" t="str">
        <f t="shared" si="0"/>
        <v/>
      </c>
      <c r="I22" s="2" t="str">
        <f t="shared" si="1"/>
        <v/>
      </c>
      <c r="J22" s="21" t="str">
        <f>IF($H22="","",VLOOKUP($H22,Data!$C$6:$Y$29,2,FALSE))</f>
        <v/>
      </c>
      <c r="K22" s="2" t="str">
        <f>IF($H22="","",VLOOKUP($H22,Data!$C$6:$Y$29,3,FALSE))</f>
        <v/>
      </c>
      <c r="L22" s="2" t="str">
        <f>IF($H22="","",VLOOKUP($H22,Data!$C$6:$Y$29,4,FALSE))</f>
        <v/>
      </c>
      <c r="M22" s="2" t="str">
        <f>IF($H22="","",VLOOKUP($H22,Data!$C$6:$Y$29,5,FALSE))</f>
        <v/>
      </c>
      <c r="N22" s="2" t="str">
        <f>IF($H22="","",VLOOKUP($H22,Data!$C$6:$Y$29,6,FALSE))</f>
        <v/>
      </c>
      <c r="O22" s="2" t="str">
        <f>IF($H22="","",VLOOKUP($H22,Data!$C$6:$Y$29,7,FALSE))</f>
        <v/>
      </c>
      <c r="P22" s="2" t="str">
        <f>IF($H22="","",VLOOKUP($H22,Data!$C$6:$Y$29,8,FALSE))</f>
        <v/>
      </c>
      <c r="Q22" s="2" t="str">
        <f>IF($H22="","",VLOOKUP($H22,Data!$C$6:$Y$29,9,FALSE))</f>
        <v/>
      </c>
      <c r="R22" s="2" t="str">
        <f>IF($H22="","",VLOOKUP($H22,Data!$C$6:$Y$29,10,FALSE))</f>
        <v/>
      </c>
      <c r="S22" s="2" t="str">
        <f>IF($H22="","",VLOOKUP($H22,Data!$C$6:$Y$29,11,FALSE))</f>
        <v/>
      </c>
      <c r="T22" s="2" t="str">
        <f>IF($H22="","",VLOOKUP($H22,Data!$C$6:$Y$29,12,FALSE))</f>
        <v/>
      </c>
      <c r="U22" s="2" t="str">
        <f>IF($H22="","",VLOOKUP($H22,Data!$C$6:$Y$29,13,FALSE))</f>
        <v/>
      </c>
      <c r="V22" s="2" t="str">
        <f>IF($H22="","",VLOOKUP($H22,Data!$C$6:$Y$29,14,FALSE))</f>
        <v/>
      </c>
      <c r="W22" s="2" t="str">
        <f>IF($H22="","",VLOOKUP($H22,Data!$C$6:$Y$29,15,FALSE))</f>
        <v/>
      </c>
      <c r="X22" s="2" t="str">
        <f>IF($H22="","",VLOOKUP($H22,Data!$C$6:$Y$29,16,FALSE))</f>
        <v/>
      </c>
      <c r="Y22" s="2" t="str">
        <f>IF($H22="","",VLOOKUP($H22,Data!$C$6:$Y$29,17,FALSE))</f>
        <v/>
      </c>
      <c r="Z22" s="2" t="str">
        <f>IF($H22="","",VLOOKUP($H22,Data!$C$6:$Y$29,18,FALSE))</f>
        <v/>
      </c>
      <c r="AA22" s="2" t="str">
        <f>IF($H22="","",VLOOKUP($H22,Data!$C$6:$Y$29,19,FALSE))</f>
        <v/>
      </c>
      <c r="AB22" s="2" t="str">
        <f>IF($H22="","",VLOOKUP($H22,Data!$C$6:$Y$29,20,FALSE))</f>
        <v/>
      </c>
      <c r="AC22" s="2" t="str">
        <f>IF($H22="","",VLOOKUP($H22,Data!$C$6:$Y$29,21,FALSE))</f>
        <v/>
      </c>
      <c r="AD22" s="2" t="str">
        <f>IF($H22="","",VLOOKUP($H22,Data!$C$6:$Y$29,22,FALSE))</f>
        <v/>
      </c>
      <c r="AE22" s="3" t="str">
        <f>IF($H22="","",VLOOKUP($H22,Data!$C$6:$Y$29,23,FALSE))</f>
        <v/>
      </c>
      <c r="AG22" s="68" t="str">
        <f>IF($E22="","",IF($C22="DUCTED",VLOOKUP($E22,'DX-Data'!$D$5:$J$11,7,TRUE),IF($C22="DECORATIVE",VLOOKUP($E22,'DX-Data'!$D$19:$J$23,7,TRUE),IF($C22="PACKAGED",VLOOKUP($E22,'DX-Data'!$D$24:$J$30,7,TRUE),IF($C22="DUCTED-INV",VLOOKUP($E22,'DX-Data'!$D$12:$J$18,7,TRUE),"CHOOSE AC TYPE")))))</f>
        <v/>
      </c>
      <c r="AH22" s="68" t="str">
        <f>IF($F$8=TRUE,IF($C22="DUCTED",VLOOKUP($F22,'DX-Data'!$F$5:$J$11,5,TRUE),IF($C22="DECORATIVE",VLOOKUP($F22,'DX-Data'!$F$19:$J$23,5,TRUE),IF($C22="PACKAGED",VLOOKUP($F22,'DX-Data'!$F$24:$J$30,5,TRUE),IF($C22="DUCTED-INV",VLOOKUP($F22,'DX-Data'!$F$12:$J$18,5,TRUE),"CHOOSE AC TYPE")))),"NO SELECTION")</f>
        <v>NO SELECTION</v>
      </c>
      <c r="AI22" s="68" t="str">
        <f>IF($G$8=TRUE,IF($C22="DUCTED",VLOOKUP($G22,'DX-Data'!$H$5:$J$11,3,TRUE),IF($C22="DECORATIVE",VLOOKUP($G22,'DX-Data'!$H$19:$J$23,3,TRUE),IF($C22="PACKAGED",VLOOKUP($G22,'DX-Data'!$H$24:$J$30,3,TRUE),IF($C22="DUCTED-INV",VLOOKUP($G22,'DX-Data'!$H$12:$J$18,3,TRUE),"CHOOSE AC TYPE")))),"NO SELECTION")</f>
        <v>NO SELECTION</v>
      </c>
      <c r="AJ22" s="69" t="str">
        <f>IF($E22="","",IF($C22="DUCTED",VLOOKUP($E22,'DX-Data'!$D$5:$J$11,6,TRUE),IF($C22="DECORATIVE",VLOOKUP($E22,'DX-Data'!$D$19:$J$23,6,TRUE),IF($C22="PACKAGED",VLOOKUP($E22,'DX-Data'!$D$24:$J$30,6,TRUE),IF($C22="DUCTED-INV",VLOOKUP($E22,'DX-Data'!$D$12:$J$18,6,TRUE),0)))))</f>
        <v/>
      </c>
      <c r="AK22" s="69">
        <f>IF($F$8=TRUE,IF($C22="DUCTED",VLOOKUP($F22,'DX-Data'!$F$5:$J$11,4,TRUE),IF($C22="DECORATIVE",VLOOKUP($F22,'DX-Data'!$F$19:$J$23,4,TRUE),IF($C22="PACKAGED",VLOOKUP($F22,'DX-Data'!$F$24:$J$30,4,TRUE),IF($C22="DUCTED-INV",VLOOKUP($F22,'DX-Data'!$F$12:$J$18,4,TRUE),"CHOOSE AC TYPE")))),0)</f>
        <v>0</v>
      </c>
      <c r="AL22" s="69">
        <f>IF($G$8=TRUE,IF($C22="DUCTED",VLOOKUP($G22,'DX-Data'!$H$5:$J$11,2,TRUE),IF($C22="DECORATIVE",VLOOKUP($G22,'DX-Data'!$H$19:$J$23,2,TRUE),IF($C22="PACKAGED",VLOOKUP($G22,'DX-Data'!$H$24:$J$30,2,TRUE),IF($C22="DUCTED-INV",VLOOKUP($G22,'DX-Data'!$H$12:$J$18,2,TRUE),"CHOOSE AC TYPE")))),0)</f>
        <v>0</v>
      </c>
      <c r="AM22" s="69">
        <f t="shared" si="2"/>
        <v>0</v>
      </c>
      <c r="AN22" s="68" t="str">
        <f>IF(E22="","",VLOOKUP($AM22,'DX-Data'!$I$5:$J$31,2,FALSE))</f>
        <v/>
      </c>
      <c r="AO22" s="69" t="str">
        <f t="shared" si="3"/>
        <v/>
      </c>
    </row>
    <row r="23" spans="2:44" x14ac:dyDescent="0.3">
      <c r="B23" s="64"/>
      <c r="C23" s="24"/>
      <c r="D23" s="25"/>
      <c r="E23" s="24"/>
      <c r="F23" s="24"/>
      <c r="G23" s="74"/>
      <c r="H23" s="66" t="str">
        <f t="shared" si="0"/>
        <v/>
      </c>
      <c r="I23" s="2" t="str">
        <f t="shared" si="1"/>
        <v/>
      </c>
      <c r="J23" s="21" t="str">
        <f>IF($H23="","",VLOOKUP($H23,Data!$C$6:$Y$29,2,FALSE))</f>
        <v/>
      </c>
      <c r="K23" s="2" t="str">
        <f>IF($H23="","",VLOOKUP($H23,Data!$C$6:$Y$29,3,FALSE))</f>
        <v/>
      </c>
      <c r="L23" s="2" t="str">
        <f>IF($H23="","",VLOOKUP($H23,Data!$C$6:$Y$29,4,FALSE))</f>
        <v/>
      </c>
      <c r="M23" s="2" t="str">
        <f>IF($H23="","",VLOOKUP($H23,Data!$C$6:$Y$29,5,FALSE))</f>
        <v/>
      </c>
      <c r="N23" s="2" t="str">
        <f>IF($H23="","",VLOOKUP($H23,Data!$C$6:$Y$29,6,FALSE))</f>
        <v/>
      </c>
      <c r="O23" s="2" t="str">
        <f>IF($H23="","",VLOOKUP($H23,Data!$C$6:$Y$29,7,FALSE))</f>
        <v/>
      </c>
      <c r="P23" s="2" t="str">
        <f>IF($H23="","",VLOOKUP($H23,Data!$C$6:$Y$29,8,FALSE))</f>
        <v/>
      </c>
      <c r="Q23" s="2" t="str">
        <f>IF($H23="","",VLOOKUP($H23,Data!$C$6:$Y$29,9,FALSE))</f>
        <v/>
      </c>
      <c r="R23" s="2" t="str">
        <f>IF($H23="","",VLOOKUP($H23,Data!$C$6:$Y$29,10,FALSE))</f>
        <v/>
      </c>
      <c r="S23" s="2" t="str">
        <f>IF($H23="","",VLOOKUP($H23,Data!$C$6:$Y$29,11,FALSE))</f>
        <v/>
      </c>
      <c r="T23" s="2" t="str">
        <f>IF($H23="","",VLOOKUP($H23,Data!$C$6:$Y$29,12,FALSE))</f>
        <v/>
      </c>
      <c r="U23" s="2" t="str">
        <f>IF($H23="","",VLOOKUP($H23,Data!$C$6:$Y$29,13,FALSE))</f>
        <v/>
      </c>
      <c r="V23" s="2" t="str">
        <f>IF($H23="","",VLOOKUP($H23,Data!$C$6:$Y$29,14,FALSE))</f>
        <v/>
      </c>
      <c r="W23" s="2" t="str">
        <f>IF($H23="","",VLOOKUP($H23,Data!$C$6:$Y$29,15,FALSE))</f>
        <v/>
      </c>
      <c r="X23" s="2" t="str">
        <f>IF($H23="","",VLOOKUP($H23,Data!$C$6:$Y$29,16,FALSE))</f>
        <v/>
      </c>
      <c r="Y23" s="2" t="str">
        <f>IF($H23="","",VLOOKUP($H23,Data!$C$6:$Y$29,17,FALSE))</f>
        <v/>
      </c>
      <c r="Z23" s="2" t="str">
        <f>IF($H23="","",VLOOKUP($H23,Data!$C$6:$Y$29,18,FALSE))</f>
        <v/>
      </c>
      <c r="AA23" s="2" t="str">
        <f>IF($H23="","",VLOOKUP($H23,Data!$C$6:$Y$29,19,FALSE))</f>
        <v/>
      </c>
      <c r="AB23" s="2" t="str">
        <f>IF($H23="","",VLOOKUP($H23,Data!$C$6:$Y$29,20,FALSE))</f>
        <v/>
      </c>
      <c r="AC23" s="2" t="str">
        <f>IF($H23="","",VLOOKUP($H23,Data!$C$6:$Y$29,21,FALSE))</f>
        <v/>
      </c>
      <c r="AD23" s="2" t="str">
        <f>IF($H23="","",VLOOKUP($H23,Data!$C$6:$Y$29,22,FALSE))</f>
        <v/>
      </c>
      <c r="AE23" s="3" t="str">
        <f>IF($H23="","",VLOOKUP($H23,Data!$C$6:$Y$29,23,FALSE))</f>
        <v/>
      </c>
      <c r="AG23" s="68" t="str">
        <f>IF($E23="","",IF($C23="DUCTED",VLOOKUP($E23,'DX-Data'!$D$5:$J$11,7,TRUE),IF($C23="DECORATIVE",VLOOKUP($E23,'DX-Data'!$D$19:$J$23,7,TRUE),IF($C23="PACKAGED",VLOOKUP($E23,'DX-Data'!$D$24:$J$30,7,TRUE),IF($C23="DUCTED-INV",VLOOKUP($E23,'DX-Data'!$D$12:$J$18,7,TRUE),"CHOOSE AC TYPE")))))</f>
        <v/>
      </c>
      <c r="AH23" s="68" t="str">
        <f>IF($F$8=TRUE,IF($C23="DUCTED",VLOOKUP($F23,'DX-Data'!$F$5:$J$11,5,TRUE),IF($C23="DECORATIVE",VLOOKUP($F23,'DX-Data'!$F$19:$J$23,5,TRUE),IF($C23="PACKAGED",VLOOKUP($F23,'DX-Data'!$F$24:$J$30,5,TRUE),IF($C23="DUCTED-INV",VLOOKUP($F23,'DX-Data'!$F$12:$J$18,5,TRUE),"CHOOSE AC TYPE")))),"NO SELECTION")</f>
        <v>NO SELECTION</v>
      </c>
      <c r="AI23" s="68" t="str">
        <f>IF($G$8=TRUE,IF($C23="DUCTED",VLOOKUP($G23,'DX-Data'!$H$5:$J$11,3,TRUE),IF($C23="DECORATIVE",VLOOKUP($G23,'DX-Data'!$H$19:$J$23,3,TRUE),IF($C23="PACKAGED",VLOOKUP($G23,'DX-Data'!$H$24:$J$30,3,TRUE),IF($C23="DUCTED-INV",VLOOKUP($G23,'DX-Data'!$H$12:$J$18,3,TRUE),"CHOOSE AC TYPE")))),"NO SELECTION")</f>
        <v>NO SELECTION</v>
      </c>
      <c r="AJ23" s="69" t="str">
        <f>IF($E23="","",IF($C23="DUCTED",VLOOKUP($E23,'DX-Data'!$D$5:$J$11,6,TRUE),IF($C23="DECORATIVE",VLOOKUP($E23,'DX-Data'!$D$19:$J$23,6,TRUE),IF($C23="PACKAGED",VLOOKUP($E23,'DX-Data'!$D$24:$J$30,6,TRUE),IF($C23="DUCTED-INV",VLOOKUP($E23,'DX-Data'!$D$12:$J$18,6,TRUE),0)))))</f>
        <v/>
      </c>
      <c r="AK23" s="69">
        <f>IF($F$8=TRUE,IF($C23="DUCTED",VLOOKUP($F23,'DX-Data'!$F$5:$J$11,4,TRUE),IF($C23="DECORATIVE",VLOOKUP($F23,'DX-Data'!$F$19:$J$23,4,TRUE),IF($C23="PACKAGED",VLOOKUP($F23,'DX-Data'!$F$24:$J$30,4,TRUE),IF($C23="DUCTED-INV",VLOOKUP($F23,'DX-Data'!$F$12:$J$18,4,TRUE),"CHOOSE AC TYPE")))),0)</f>
        <v>0</v>
      </c>
      <c r="AL23" s="69">
        <f>IF($G$8=TRUE,IF($C23="DUCTED",VLOOKUP($G23,'DX-Data'!$H$5:$J$11,2,TRUE),IF($C23="DECORATIVE",VLOOKUP($G23,'DX-Data'!$H$19:$J$23,2,TRUE),IF($C23="PACKAGED",VLOOKUP($G23,'DX-Data'!$H$24:$J$30,2,TRUE),IF($C23="DUCTED-INV",VLOOKUP($G23,'DX-Data'!$H$12:$J$18,2,TRUE),"CHOOSE AC TYPE")))),0)</f>
        <v>0</v>
      </c>
      <c r="AM23" s="69">
        <f t="shared" si="2"/>
        <v>0</v>
      </c>
      <c r="AN23" s="68" t="str">
        <f>IF(E23="","",VLOOKUP($AM23,'DX-Data'!$I$5:$J$31,2,FALSE))</f>
        <v/>
      </c>
      <c r="AO23" s="69" t="str">
        <f t="shared" si="3"/>
        <v/>
      </c>
    </row>
    <row r="24" spans="2:44" x14ac:dyDescent="0.3">
      <c r="B24" s="64"/>
      <c r="C24" s="24"/>
      <c r="D24" s="25"/>
      <c r="E24" s="24"/>
      <c r="F24" s="24"/>
      <c r="G24" s="74"/>
      <c r="H24" s="66" t="str">
        <f t="shared" si="0"/>
        <v/>
      </c>
      <c r="I24" s="2" t="str">
        <f t="shared" si="1"/>
        <v/>
      </c>
      <c r="J24" s="21" t="str">
        <f>IF($H24="","",VLOOKUP($H24,Data!$C$6:$Y$29,2,FALSE))</f>
        <v/>
      </c>
      <c r="K24" s="2" t="str">
        <f>IF($H24="","",VLOOKUP($H24,Data!$C$6:$Y$29,3,FALSE))</f>
        <v/>
      </c>
      <c r="L24" s="2" t="str">
        <f>IF($H24="","",VLOOKUP($H24,Data!$C$6:$Y$29,4,FALSE))</f>
        <v/>
      </c>
      <c r="M24" s="2" t="str">
        <f>IF($H24="","",VLOOKUP($H24,Data!$C$6:$Y$29,5,FALSE))</f>
        <v/>
      </c>
      <c r="N24" s="2" t="str">
        <f>IF($H24="","",VLOOKUP($H24,Data!$C$6:$Y$29,6,FALSE))</f>
        <v/>
      </c>
      <c r="O24" s="2" t="str">
        <f>IF($H24="","",VLOOKUP($H24,Data!$C$6:$Y$29,7,FALSE))</f>
        <v/>
      </c>
      <c r="P24" s="2" t="str">
        <f>IF($H24="","",VLOOKUP($H24,Data!$C$6:$Y$29,8,FALSE))</f>
        <v/>
      </c>
      <c r="Q24" s="2" t="str">
        <f>IF($H24="","",VLOOKUP($H24,Data!$C$6:$Y$29,9,FALSE))</f>
        <v/>
      </c>
      <c r="R24" s="2" t="str">
        <f>IF($H24="","",VLOOKUP($H24,Data!$C$6:$Y$29,10,FALSE))</f>
        <v/>
      </c>
      <c r="S24" s="2" t="str">
        <f>IF($H24="","",VLOOKUP($H24,Data!$C$6:$Y$29,11,FALSE))</f>
        <v/>
      </c>
      <c r="T24" s="2" t="str">
        <f>IF($H24="","",VLOOKUP($H24,Data!$C$6:$Y$29,12,FALSE))</f>
        <v/>
      </c>
      <c r="U24" s="2" t="str">
        <f>IF($H24="","",VLOOKUP($H24,Data!$C$6:$Y$29,13,FALSE))</f>
        <v/>
      </c>
      <c r="V24" s="2" t="str">
        <f>IF($H24="","",VLOOKUP($H24,Data!$C$6:$Y$29,14,FALSE))</f>
        <v/>
      </c>
      <c r="W24" s="2" t="str">
        <f>IF($H24="","",VLOOKUP($H24,Data!$C$6:$Y$29,15,FALSE))</f>
        <v/>
      </c>
      <c r="X24" s="2" t="str">
        <f>IF($H24="","",VLOOKUP($H24,Data!$C$6:$Y$29,16,FALSE))</f>
        <v/>
      </c>
      <c r="Y24" s="2" t="str">
        <f>IF($H24="","",VLOOKUP($H24,Data!$C$6:$Y$29,17,FALSE))</f>
        <v/>
      </c>
      <c r="Z24" s="2" t="str">
        <f>IF($H24="","",VLOOKUP($H24,Data!$C$6:$Y$29,18,FALSE))</f>
        <v/>
      </c>
      <c r="AA24" s="2" t="str">
        <f>IF($H24="","",VLOOKUP($H24,Data!$C$6:$Y$29,19,FALSE))</f>
        <v/>
      </c>
      <c r="AB24" s="2" t="str">
        <f>IF($H24="","",VLOOKUP($H24,Data!$C$6:$Y$29,20,FALSE))</f>
        <v/>
      </c>
      <c r="AC24" s="2" t="str">
        <f>IF($H24="","",VLOOKUP($H24,Data!$C$6:$Y$29,21,FALSE))</f>
        <v/>
      </c>
      <c r="AD24" s="2" t="str">
        <f>IF($H24="","",VLOOKUP($H24,Data!$C$6:$Y$29,22,FALSE))</f>
        <v/>
      </c>
      <c r="AE24" s="3" t="str">
        <f>IF($H24="","",VLOOKUP($H24,Data!$C$6:$Y$29,23,FALSE))</f>
        <v/>
      </c>
      <c r="AG24" s="68" t="str">
        <f>IF($E24="","",IF($C24="DUCTED",VLOOKUP($E24,'DX-Data'!$D$5:$J$11,7,TRUE),IF($C24="DECORATIVE",VLOOKUP($E24,'DX-Data'!$D$19:$J$23,7,TRUE),IF($C24="PACKAGED",VLOOKUP($E24,'DX-Data'!$D$24:$J$30,7,TRUE),IF($C24="DUCTED-INV",VLOOKUP($E24,'DX-Data'!$D$12:$J$18,7,TRUE),"CHOOSE AC TYPE")))))</f>
        <v/>
      </c>
      <c r="AH24" s="68" t="str">
        <f>IF($F$8=TRUE,IF($C24="DUCTED",VLOOKUP($F24,'DX-Data'!$F$5:$J$11,5,TRUE),IF($C24="DECORATIVE",VLOOKUP($F24,'DX-Data'!$F$19:$J$23,5,TRUE),IF($C24="PACKAGED",VLOOKUP($F24,'DX-Data'!$F$24:$J$30,5,TRUE),IF($C24="DUCTED-INV",VLOOKUP($F24,'DX-Data'!$F$12:$J$18,5,TRUE),"CHOOSE AC TYPE")))),"NO SELECTION")</f>
        <v>NO SELECTION</v>
      </c>
      <c r="AI24" s="68" t="str">
        <f>IF($G$8=TRUE,IF($C24="DUCTED",VLOOKUP($G24,'DX-Data'!$H$5:$J$11,3,TRUE),IF($C24="DECORATIVE",VLOOKUP($G24,'DX-Data'!$H$19:$J$23,3,TRUE),IF($C24="PACKAGED",VLOOKUP($G24,'DX-Data'!$H$24:$J$30,3,TRUE),IF($C24="DUCTED-INV",VLOOKUP($G24,'DX-Data'!$H$12:$J$18,3,TRUE),"CHOOSE AC TYPE")))),"NO SELECTION")</f>
        <v>NO SELECTION</v>
      </c>
      <c r="AJ24" s="69" t="str">
        <f>IF($E24="","",IF($C24="DUCTED",VLOOKUP($E24,'DX-Data'!$D$5:$J$11,6,TRUE),IF($C24="DECORATIVE",VLOOKUP($E24,'DX-Data'!$D$19:$J$23,6,TRUE),IF($C24="PACKAGED",VLOOKUP($E24,'DX-Data'!$D$24:$J$30,6,TRUE),IF($C24="DUCTED-INV",VLOOKUP($E24,'DX-Data'!$D$12:$J$18,6,TRUE),0)))))</f>
        <v/>
      </c>
      <c r="AK24" s="69">
        <f>IF($F$8=TRUE,IF($C24="DUCTED",VLOOKUP($F24,'DX-Data'!$F$5:$J$11,4,TRUE),IF($C24="DECORATIVE",VLOOKUP($F24,'DX-Data'!$F$19:$J$23,4,TRUE),IF($C24="PACKAGED",VLOOKUP($F24,'DX-Data'!$F$24:$J$30,4,TRUE),IF($C24="DUCTED-INV",VLOOKUP($F24,'DX-Data'!$F$12:$J$18,4,TRUE),"CHOOSE AC TYPE")))),0)</f>
        <v>0</v>
      </c>
      <c r="AL24" s="69">
        <f>IF($G$8=TRUE,IF($C24="DUCTED",VLOOKUP($G24,'DX-Data'!$H$5:$J$11,2,TRUE),IF($C24="DECORATIVE",VLOOKUP($G24,'DX-Data'!$H$19:$J$23,2,TRUE),IF($C24="PACKAGED",VLOOKUP($G24,'DX-Data'!$H$24:$J$30,2,TRUE),IF($C24="DUCTED-INV",VLOOKUP($G24,'DX-Data'!$H$12:$J$18,2,TRUE),"CHOOSE AC TYPE")))),0)</f>
        <v>0</v>
      </c>
      <c r="AM24" s="69">
        <f t="shared" si="2"/>
        <v>0</v>
      </c>
      <c r="AN24" s="68" t="str">
        <f>IF(E24="","",VLOOKUP($AM24,'DX-Data'!$I$5:$J$31,2,FALSE))</f>
        <v/>
      </c>
      <c r="AO24" s="69" t="str">
        <f t="shared" si="3"/>
        <v/>
      </c>
    </row>
    <row r="25" spans="2:44" x14ac:dyDescent="0.3">
      <c r="B25" s="64"/>
      <c r="C25" s="24"/>
      <c r="D25" s="25"/>
      <c r="E25" s="24"/>
      <c r="F25" s="24"/>
      <c r="G25" s="74"/>
      <c r="H25" s="66" t="str">
        <f t="shared" si="0"/>
        <v/>
      </c>
      <c r="I25" s="2" t="str">
        <f t="shared" si="1"/>
        <v/>
      </c>
      <c r="J25" s="21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3"/>
      <c r="AG25" s="68" t="str">
        <f>IF($E25="","",IF($C25="DUCTED",VLOOKUP($E25,'DX-Data'!$D$5:$J$11,7,TRUE),IF($C25="DECORATIVE",VLOOKUP($E25,'DX-Data'!$D$19:$J$23,7,TRUE),IF($C25="PACKAGED",VLOOKUP($E25,'DX-Data'!$D$24:$J$30,7,TRUE),IF($C25="DUCTED-INV",VLOOKUP($E25,'DX-Data'!$D$12:$J$18,7,TRUE),"CHOOSE AC TYPE")))))</f>
        <v/>
      </c>
      <c r="AH25" s="68" t="str">
        <f>IF($F$8=TRUE,IF($C25="DUCTED",VLOOKUP($F25,'DX-Data'!$F$5:$J$11,5,TRUE),IF($C25="DECORATIVE",VLOOKUP($F25,'DX-Data'!$F$19:$J$23,5,TRUE),IF($C25="PACKAGED",VLOOKUP($F25,'DX-Data'!$F$24:$J$30,5,TRUE),IF($C25="DUCTED-INV",VLOOKUP($F25,'DX-Data'!$F$12:$J$18,5,TRUE),"CHOOSE AC TYPE")))),"NO SELECTION")</f>
        <v>NO SELECTION</v>
      </c>
      <c r="AI25" s="68" t="str">
        <f>IF($G$8=TRUE,IF($C25="DUCTED",VLOOKUP($G25,'DX-Data'!$H$5:$J$11,3,TRUE),IF($C25="DECORATIVE",VLOOKUP($G25,'DX-Data'!$H$19:$J$23,3,TRUE),IF($C25="PACKAGED",VLOOKUP($G25,'DX-Data'!$H$24:$J$30,3,TRUE),IF($C25="DUCTED-INV",VLOOKUP($G25,'DX-Data'!$H$12:$J$18,3,TRUE),"CHOOSE AC TYPE")))),"NO SELECTION")</f>
        <v>NO SELECTION</v>
      </c>
      <c r="AJ25" s="69" t="str">
        <f>IF($E25="","",IF($C25="DUCTED",VLOOKUP($E25,'DX-Data'!$D$5:$J$11,6,TRUE),IF($C25="DECORATIVE",VLOOKUP($E25,'DX-Data'!$D$19:$J$23,6,TRUE),IF($C25="PACKAGED",VLOOKUP($E25,'DX-Data'!$D$24:$J$30,6,TRUE),IF($C25="DUCTED-INV",VLOOKUP($E25,'DX-Data'!$D$12:$J$18,6,TRUE),0)))))</f>
        <v/>
      </c>
      <c r="AK25" s="69">
        <f>IF($F$8=TRUE,IF($C25="DUCTED",VLOOKUP($F25,'DX-Data'!$F$5:$J$11,4,TRUE),IF($C25="DECORATIVE",VLOOKUP($F25,'DX-Data'!$F$19:$J$23,4,TRUE),IF($C25="PACKAGED",VLOOKUP($F25,'DX-Data'!$F$24:$J$30,4,TRUE),IF($C25="DUCTED-INV",VLOOKUP($F25,'DX-Data'!$F$12:$J$18,4,TRUE),"CHOOSE AC TYPE")))),0)</f>
        <v>0</v>
      </c>
      <c r="AL25" s="69">
        <f>IF($G$8=TRUE,IF($C25="DUCTED",VLOOKUP($G25,'DX-Data'!$H$5:$J$11,2,TRUE),IF($C25="DECORATIVE",VLOOKUP($G25,'DX-Data'!$H$19:$J$23,2,TRUE),IF($C25="PACKAGED",VLOOKUP($G25,'DX-Data'!$H$24:$J$30,2,TRUE),IF($C25="DUCTED-INV",VLOOKUP($G25,'DX-Data'!$H$12:$J$18,2,TRUE),"CHOOSE AC TYPE")))),0)</f>
        <v>0</v>
      </c>
      <c r="AM25" s="69">
        <f t="shared" si="2"/>
        <v>0</v>
      </c>
      <c r="AN25" s="68" t="str">
        <f>IF(E25="","",VLOOKUP($AM25,'DX-Data'!$I$5:$J$31,2,FALSE))</f>
        <v/>
      </c>
      <c r="AO25" s="69" t="str">
        <f t="shared" si="3"/>
        <v/>
      </c>
    </row>
    <row r="26" spans="2:44" x14ac:dyDescent="0.3">
      <c r="B26" s="64"/>
      <c r="C26" s="24"/>
      <c r="D26" s="25"/>
      <c r="E26" s="24"/>
      <c r="F26" s="24"/>
      <c r="G26" s="74"/>
      <c r="H26" s="66" t="str">
        <f t="shared" si="0"/>
        <v/>
      </c>
      <c r="I26" s="2" t="str">
        <f t="shared" si="1"/>
        <v/>
      </c>
      <c r="J26" s="21" t="str">
        <f>IF($H26="","",VLOOKUP($H26,Data!$C$6:$Y$29,2,FALSE))</f>
        <v/>
      </c>
      <c r="K26" s="2" t="str">
        <f>IF($H26="","",VLOOKUP($H26,Data!$C$6:$Y$29,3,FALSE))</f>
        <v/>
      </c>
      <c r="L26" s="2" t="str">
        <f>IF($H26="","",VLOOKUP($H26,Data!$C$6:$Y$29,4,FALSE))</f>
        <v/>
      </c>
      <c r="M26" s="2" t="str">
        <f>IF($H26="","",VLOOKUP($H26,Data!$C$6:$Y$29,5,FALSE))</f>
        <v/>
      </c>
      <c r="N26" s="2" t="str">
        <f>IF($H26="","",VLOOKUP($H26,Data!$C$6:$Y$29,6,FALSE))</f>
        <v/>
      </c>
      <c r="O26" s="2" t="str">
        <f>IF($H26="","",VLOOKUP($H26,Data!$C$6:$Y$29,7,FALSE))</f>
        <v/>
      </c>
      <c r="P26" s="2" t="str">
        <f>IF($H26="","",VLOOKUP($H26,Data!$C$6:$Y$29,8,FALSE))</f>
        <v/>
      </c>
      <c r="Q26" s="2" t="str">
        <f>IF($H26="","",VLOOKUP($H26,Data!$C$6:$Y$29,9,FALSE))</f>
        <v/>
      </c>
      <c r="R26" s="2" t="str">
        <f>IF($H26="","",VLOOKUP($H26,Data!$C$6:$Y$29,10,FALSE))</f>
        <v/>
      </c>
      <c r="S26" s="2" t="str">
        <f>IF($H26="","",VLOOKUP($H26,Data!$C$6:$Y$29,11,FALSE))</f>
        <v/>
      </c>
      <c r="T26" s="2" t="str">
        <f>IF($H26="","",VLOOKUP($H26,Data!$C$6:$Y$29,12,FALSE))</f>
        <v/>
      </c>
      <c r="U26" s="2" t="str">
        <f>IF($H26="","",VLOOKUP($H26,Data!$C$6:$Y$29,13,FALSE))</f>
        <v/>
      </c>
      <c r="V26" s="2" t="str">
        <f>IF($H26="","",VLOOKUP($H26,Data!$C$6:$Y$29,14,FALSE))</f>
        <v/>
      </c>
      <c r="W26" s="2" t="str">
        <f>IF($H26="","",VLOOKUP($H26,Data!$C$6:$Y$29,15,FALSE))</f>
        <v/>
      </c>
      <c r="X26" s="2" t="str">
        <f>IF($H26="","",VLOOKUP($H26,Data!$C$6:$Y$29,16,FALSE))</f>
        <v/>
      </c>
      <c r="Y26" s="2" t="str">
        <f>IF($H26="","",VLOOKUP($H26,Data!$C$6:$Y$29,17,FALSE))</f>
        <v/>
      </c>
      <c r="Z26" s="2" t="str">
        <f>IF($H26="","",VLOOKUP($H26,Data!$C$6:$Y$29,18,FALSE))</f>
        <v/>
      </c>
      <c r="AA26" s="2" t="str">
        <f>IF($H26="","",VLOOKUP($H26,Data!$C$6:$Y$29,19,FALSE))</f>
        <v/>
      </c>
      <c r="AB26" s="2" t="str">
        <f>IF($H26="","",VLOOKUP($H26,Data!$C$6:$Y$29,20,FALSE))</f>
        <v/>
      </c>
      <c r="AC26" s="2" t="str">
        <f>IF($H26="","",VLOOKUP($H26,Data!$C$6:$Y$29,21,FALSE))</f>
        <v/>
      </c>
      <c r="AD26" s="2" t="str">
        <f>IF($H26="","",VLOOKUP($H26,Data!$C$6:$Y$29,22,FALSE))</f>
        <v/>
      </c>
      <c r="AE26" s="3" t="str">
        <f>IF($H26="","",VLOOKUP($H26,Data!$C$6:$Y$29,23,FALSE))</f>
        <v/>
      </c>
      <c r="AG26" s="68" t="str">
        <f>IF($E26="","",IF($C26="DUCTED",VLOOKUP($E26,'DX-Data'!$D$5:$J$11,7,TRUE),IF($C26="DECORATIVE",VLOOKUP($E26,'DX-Data'!$D$19:$J$23,7,TRUE),IF($C26="PACKAGED",VLOOKUP($E26,'DX-Data'!$D$24:$J$30,7,TRUE),IF($C26="DUCTED-INV",VLOOKUP($E26,'DX-Data'!$D$12:$J$18,7,TRUE),"CHOOSE AC TYPE")))))</f>
        <v/>
      </c>
      <c r="AH26" s="68" t="str">
        <f>IF($F$8=TRUE,IF($C26="DUCTED",VLOOKUP($F26,'DX-Data'!$F$5:$J$11,5,TRUE),IF($C26="DECORATIVE",VLOOKUP($F26,'DX-Data'!$F$19:$J$23,5,TRUE),IF($C26="PACKAGED",VLOOKUP($F26,'DX-Data'!$F$24:$J$30,5,TRUE),IF($C26="DUCTED-INV",VLOOKUP($F26,'DX-Data'!$F$12:$J$18,5,TRUE),"CHOOSE AC TYPE")))),"NO SELECTION")</f>
        <v>NO SELECTION</v>
      </c>
      <c r="AI26" s="68" t="str">
        <f>IF($G$8=TRUE,IF($C26="DUCTED",VLOOKUP($G26,'DX-Data'!$H$5:$J$11,3,TRUE),IF($C26="DECORATIVE",VLOOKUP($G26,'DX-Data'!$H$19:$J$23,3,TRUE),IF($C26="PACKAGED",VLOOKUP($G26,'DX-Data'!$H$24:$J$30,3,TRUE),IF($C26="DUCTED-INV",VLOOKUP($G26,'DX-Data'!$H$12:$J$18,3,TRUE),"CHOOSE AC TYPE")))),"NO SELECTION")</f>
        <v>NO SELECTION</v>
      </c>
      <c r="AJ26" s="69" t="str">
        <f>IF($E26="","",IF($C26="DUCTED",VLOOKUP($E26,'DX-Data'!$D$5:$J$11,6,TRUE),IF($C26="DECORATIVE",VLOOKUP($E26,'DX-Data'!$D$19:$J$23,6,TRUE),IF($C26="PACKAGED",VLOOKUP($E26,'DX-Data'!$D$24:$J$30,6,TRUE),IF($C26="DUCTED-INV",VLOOKUP($E26,'DX-Data'!$D$12:$J$18,6,TRUE),0)))))</f>
        <v/>
      </c>
      <c r="AK26" s="69">
        <f>IF($F$8=TRUE,IF($C26="DUCTED",VLOOKUP($F26,'DX-Data'!$F$5:$J$11,4,TRUE),IF($C26="DECORATIVE",VLOOKUP($F26,'DX-Data'!$F$19:$J$23,4,TRUE),IF($C26="PACKAGED",VLOOKUP($F26,'DX-Data'!$F$24:$J$30,4,TRUE),IF($C26="DUCTED-INV",VLOOKUP($F26,'DX-Data'!$F$12:$J$18,4,TRUE),"CHOOSE AC TYPE")))),0)</f>
        <v>0</v>
      </c>
      <c r="AL26" s="69">
        <f>IF($G$8=TRUE,IF($C26="DUCTED",VLOOKUP($G26,'DX-Data'!$H$5:$J$11,2,TRUE),IF($C26="DECORATIVE",VLOOKUP($G26,'DX-Data'!$H$19:$J$23,2,TRUE),IF($C26="PACKAGED",VLOOKUP($G26,'DX-Data'!$H$24:$J$30,2,TRUE),IF($C26="DUCTED-INV",VLOOKUP($G26,'DX-Data'!$H$12:$J$18,2,TRUE),"CHOOSE AC TYPE")))),0)</f>
        <v>0</v>
      </c>
      <c r="AM26" s="69">
        <f t="shared" si="2"/>
        <v>0</v>
      </c>
      <c r="AN26" s="68" t="str">
        <f>IF(E26="","",VLOOKUP($AM26,'DX-Data'!$I$5:$J$31,2,FALSE))</f>
        <v/>
      </c>
      <c r="AO26" s="69" t="str">
        <f t="shared" si="3"/>
        <v/>
      </c>
    </row>
    <row r="27" spans="2:44" x14ac:dyDescent="0.3">
      <c r="B27" s="64"/>
      <c r="C27" s="24"/>
      <c r="D27" s="25"/>
      <c r="E27" s="24"/>
      <c r="F27" s="24"/>
      <c r="G27" s="74"/>
      <c r="H27" s="66" t="str">
        <f t="shared" si="0"/>
        <v/>
      </c>
      <c r="I27" s="2" t="str">
        <f t="shared" si="1"/>
        <v/>
      </c>
      <c r="J27" s="21" t="str">
        <f>IF($H27="","",VLOOKUP($H27,Data!$C$6:$Y$29,2,FALSE))</f>
        <v/>
      </c>
      <c r="K27" s="2" t="str">
        <f>IF($H27="","",VLOOKUP($H27,Data!$C$6:$Y$29,3,FALSE))</f>
        <v/>
      </c>
      <c r="L27" s="2" t="str">
        <f>IF($H27="","",VLOOKUP($H27,Data!$C$6:$Y$29,4,FALSE))</f>
        <v/>
      </c>
      <c r="M27" s="2" t="str">
        <f>IF($H27="","",VLOOKUP($H27,Data!$C$6:$Y$29,5,FALSE))</f>
        <v/>
      </c>
      <c r="N27" s="2" t="str">
        <f>IF($H27="","",VLOOKUP($H27,Data!$C$6:$Y$29,6,FALSE))</f>
        <v/>
      </c>
      <c r="O27" s="2" t="str">
        <f>IF($H27="","",VLOOKUP($H27,Data!$C$6:$Y$29,7,FALSE))</f>
        <v/>
      </c>
      <c r="P27" s="2" t="str">
        <f>IF($H27="","",VLOOKUP($H27,Data!$C$6:$Y$29,8,FALSE))</f>
        <v/>
      </c>
      <c r="Q27" s="2" t="str">
        <f>IF($H27="","",VLOOKUP($H27,Data!$C$6:$Y$29,9,FALSE))</f>
        <v/>
      </c>
      <c r="R27" s="2" t="str">
        <f>IF($H27="","",VLOOKUP($H27,Data!$C$6:$Y$29,10,FALSE))</f>
        <v/>
      </c>
      <c r="S27" s="2" t="str">
        <f>IF($H27="","",VLOOKUP($H27,Data!$C$6:$Y$29,11,FALSE))</f>
        <v/>
      </c>
      <c r="T27" s="2" t="str">
        <f>IF($H27="","",VLOOKUP($H27,Data!$C$6:$Y$29,12,FALSE))</f>
        <v/>
      </c>
      <c r="U27" s="2" t="str">
        <f>IF($H27="","",VLOOKUP($H27,Data!$C$6:$Y$29,13,FALSE))</f>
        <v/>
      </c>
      <c r="V27" s="2" t="str">
        <f>IF($H27="","",VLOOKUP($H27,Data!$C$6:$Y$29,14,FALSE))</f>
        <v/>
      </c>
      <c r="W27" s="2" t="str">
        <f>IF($H27="","",VLOOKUP($H27,Data!$C$6:$Y$29,15,FALSE))</f>
        <v/>
      </c>
      <c r="X27" s="2" t="str">
        <f>IF($H27="","",VLOOKUP($H27,Data!$C$6:$Y$29,16,FALSE))</f>
        <v/>
      </c>
      <c r="Y27" s="2" t="str">
        <f>IF($H27="","",VLOOKUP($H27,Data!$C$6:$Y$29,17,FALSE))</f>
        <v/>
      </c>
      <c r="Z27" s="2" t="str">
        <f>IF($H27="","",VLOOKUP($H27,Data!$C$6:$Y$29,18,FALSE))</f>
        <v/>
      </c>
      <c r="AA27" s="2" t="str">
        <f>IF($H27="","",VLOOKUP($H27,Data!$C$6:$Y$29,19,FALSE))</f>
        <v/>
      </c>
      <c r="AB27" s="2" t="str">
        <f>IF($H27="","",VLOOKUP($H27,Data!$C$6:$Y$29,20,FALSE))</f>
        <v/>
      </c>
      <c r="AC27" s="2" t="str">
        <f>IF($H27="","",VLOOKUP($H27,Data!$C$6:$Y$29,21,FALSE))</f>
        <v/>
      </c>
      <c r="AD27" s="2" t="str">
        <f>IF($H27="","",VLOOKUP($H27,Data!$C$6:$Y$29,22,FALSE))</f>
        <v/>
      </c>
      <c r="AE27" s="3" t="str">
        <f>IF($H27="","",VLOOKUP($H27,Data!$C$6:$Y$29,23,FALSE))</f>
        <v/>
      </c>
      <c r="AG27" s="68" t="str">
        <f>IF($E27="","",IF($C27="DUCTED",VLOOKUP($E27,'DX-Data'!$D$5:$J$11,7,TRUE),IF($C27="DECORATIVE",VLOOKUP($E27,'DX-Data'!$D$19:$J$23,7,TRUE),IF($C27="PACKAGED",VLOOKUP($E27,'DX-Data'!$D$24:$J$30,7,TRUE),IF($C27="DUCTED-INV",VLOOKUP($E27,'DX-Data'!$D$12:$J$18,7,TRUE),"CHOOSE AC TYPE")))))</f>
        <v/>
      </c>
      <c r="AH27" s="68" t="str">
        <f>IF($F$8=TRUE,IF($C27="DUCTED",VLOOKUP($F27,'DX-Data'!$F$5:$J$11,5,TRUE),IF($C27="DECORATIVE",VLOOKUP($F27,'DX-Data'!$F$19:$J$23,5,TRUE),IF($C27="PACKAGED",VLOOKUP($F27,'DX-Data'!$F$24:$J$30,5,TRUE),IF($C27="DUCTED-INV",VLOOKUP($F27,'DX-Data'!$F$12:$J$18,5,TRUE),"CHOOSE AC TYPE")))),"NO SELECTION")</f>
        <v>NO SELECTION</v>
      </c>
      <c r="AI27" s="68" t="str">
        <f>IF($G$8=TRUE,IF($C27="DUCTED",VLOOKUP($G27,'DX-Data'!$H$5:$J$11,3,TRUE),IF($C27="DECORATIVE",VLOOKUP($G27,'DX-Data'!$H$19:$J$23,3,TRUE),IF($C27="PACKAGED",VLOOKUP($G27,'DX-Data'!$H$24:$J$30,3,TRUE),IF($C27="DUCTED-INV",VLOOKUP($G27,'DX-Data'!$H$12:$J$18,3,TRUE),"CHOOSE AC TYPE")))),"NO SELECTION")</f>
        <v>NO SELECTION</v>
      </c>
      <c r="AJ27" s="69" t="str">
        <f>IF($E27="","",IF($C27="DUCTED",VLOOKUP($E27,'DX-Data'!$D$5:$J$11,6,TRUE),IF($C27="DECORATIVE",VLOOKUP($E27,'DX-Data'!$D$19:$J$23,6,TRUE),IF($C27="PACKAGED",VLOOKUP($E27,'DX-Data'!$D$24:$J$30,6,TRUE),IF($C27="DUCTED-INV",VLOOKUP($E27,'DX-Data'!$D$12:$J$18,6,TRUE),0)))))</f>
        <v/>
      </c>
      <c r="AK27" s="69">
        <f>IF($F$8=TRUE,IF($C27="DUCTED",VLOOKUP($F27,'DX-Data'!$F$5:$J$11,4,TRUE),IF($C27="DECORATIVE",VLOOKUP($F27,'DX-Data'!$F$19:$J$23,4,TRUE),IF($C27="PACKAGED",VLOOKUP($F27,'DX-Data'!$F$24:$J$30,4,TRUE),IF($C27="DUCTED-INV",VLOOKUP($F27,'DX-Data'!$F$12:$J$18,4,TRUE),"CHOOSE AC TYPE")))),0)</f>
        <v>0</v>
      </c>
      <c r="AL27" s="69">
        <f>IF($G$8=TRUE,IF($C27="DUCTED",VLOOKUP($G27,'DX-Data'!$H$5:$J$11,2,TRUE),IF($C27="DECORATIVE",VLOOKUP($G27,'DX-Data'!$H$19:$J$23,2,TRUE),IF($C27="PACKAGED",VLOOKUP($G27,'DX-Data'!$H$24:$J$30,2,TRUE),IF($C27="DUCTED-INV",VLOOKUP($G27,'DX-Data'!$H$12:$J$18,2,TRUE),"CHOOSE AC TYPE")))),0)</f>
        <v>0</v>
      </c>
      <c r="AM27" s="69">
        <f t="shared" si="2"/>
        <v>0</v>
      </c>
      <c r="AN27" s="68" t="str">
        <f>IF(E27="","",VLOOKUP($AM27,'DX-Data'!$I$5:$J$31,2,FALSE))</f>
        <v/>
      </c>
      <c r="AO27" s="69" t="str">
        <f t="shared" si="3"/>
        <v/>
      </c>
    </row>
    <row r="28" spans="2:44" x14ac:dyDescent="0.3">
      <c r="B28" s="64"/>
      <c r="C28" s="24"/>
      <c r="D28" s="25"/>
      <c r="E28" s="24"/>
      <c r="F28" s="24"/>
      <c r="G28" s="74"/>
      <c r="H28" s="66" t="str">
        <f t="shared" si="0"/>
        <v/>
      </c>
      <c r="I28" s="2" t="str">
        <f t="shared" si="1"/>
        <v/>
      </c>
      <c r="J28" s="21" t="str">
        <f>IF($H28="","",VLOOKUP($H28,Data!$C$6:$Y$29,2,FALSE))</f>
        <v/>
      </c>
      <c r="K28" s="2" t="str">
        <f>IF($H28="","",VLOOKUP($H28,Data!$C$6:$Y$29,3,FALSE))</f>
        <v/>
      </c>
      <c r="L28" s="2" t="str">
        <f>IF($H28="","",VLOOKUP($H28,Data!$C$6:$Y$29,4,FALSE))</f>
        <v/>
      </c>
      <c r="M28" s="2" t="str">
        <f>IF($H28="","",VLOOKUP($H28,Data!$C$6:$Y$29,5,FALSE))</f>
        <v/>
      </c>
      <c r="N28" s="2" t="str">
        <f>IF($H28="","",VLOOKUP($H28,Data!$C$6:$Y$29,6,FALSE))</f>
        <v/>
      </c>
      <c r="O28" s="2" t="str">
        <f>IF($H28="","",VLOOKUP($H28,Data!$C$6:$Y$29,7,FALSE))</f>
        <v/>
      </c>
      <c r="P28" s="2" t="str">
        <f>IF($H28="","",VLOOKUP($H28,Data!$C$6:$Y$29,8,FALSE))</f>
        <v/>
      </c>
      <c r="Q28" s="2" t="str">
        <f>IF($H28="","",VLOOKUP($H28,Data!$C$6:$Y$29,9,FALSE))</f>
        <v/>
      </c>
      <c r="R28" s="2" t="str">
        <f>IF($H28="","",VLOOKUP($H28,Data!$C$6:$Y$29,10,FALSE))</f>
        <v/>
      </c>
      <c r="S28" s="2" t="str">
        <f>IF($H28="","",VLOOKUP($H28,Data!$C$6:$Y$29,11,FALSE))</f>
        <v/>
      </c>
      <c r="T28" s="2" t="str">
        <f>IF($H28="","",VLOOKUP($H28,Data!$C$6:$Y$29,12,FALSE))</f>
        <v/>
      </c>
      <c r="U28" s="2" t="str">
        <f>IF($H28="","",VLOOKUP($H28,Data!$C$6:$Y$29,13,FALSE))</f>
        <v/>
      </c>
      <c r="V28" s="2" t="str">
        <f>IF($H28="","",VLOOKUP($H28,Data!$C$6:$Y$29,14,FALSE))</f>
        <v/>
      </c>
      <c r="W28" s="2" t="str">
        <f>IF($H28="","",VLOOKUP($H28,Data!$C$6:$Y$29,15,FALSE))</f>
        <v/>
      </c>
      <c r="X28" s="2" t="str">
        <f>IF($H28="","",VLOOKUP($H28,Data!$C$6:$Y$29,16,FALSE))</f>
        <v/>
      </c>
      <c r="Y28" s="2" t="str">
        <f>IF($H28="","",VLOOKUP($H28,Data!$C$6:$Y$29,17,FALSE))</f>
        <v/>
      </c>
      <c r="Z28" s="2" t="str">
        <f>IF($H28="","",VLOOKUP($H28,Data!$C$6:$Y$29,18,FALSE))</f>
        <v/>
      </c>
      <c r="AA28" s="2" t="str">
        <f>IF($H28="","",VLOOKUP($H28,Data!$C$6:$Y$29,19,FALSE))</f>
        <v/>
      </c>
      <c r="AB28" s="2" t="str">
        <f>IF($H28="","",VLOOKUP($H28,Data!$C$6:$Y$29,20,FALSE))</f>
        <v/>
      </c>
      <c r="AC28" s="2" t="str">
        <f>IF($H28="","",VLOOKUP($H28,Data!$C$6:$Y$29,21,FALSE))</f>
        <v/>
      </c>
      <c r="AD28" s="2" t="str">
        <f>IF($H28="","",VLOOKUP($H28,Data!$C$6:$Y$29,22,FALSE))</f>
        <v/>
      </c>
      <c r="AE28" s="3" t="str">
        <f>IF($H28="","",VLOOKUP($H28,Data!$C$6:$Y$29,23,FALSE))</f>
        <v/>
      </c>
      <c r="AG28" s="68" t="str">
        <f>IF($E28="","",IF($C28="DUCTED",VLOOKUP($E28,'DX-Data'!$D$5:$J$11,7,TRUE),IF($C28="DECORATIVE",VLOOKUP($E28,'DX-Data'!$D$19:$J$23,7,TRUE),IF($C28="PACKAGED",VLOOKUP($E28,'DX-Data'!$D$24:$J$30,7,TRUE),IF($C28="DUCTED-INV",VLOOKUP($E28,'DX-Data'!$D$12:$J$18,7,TRUE),"CHOOSE AC TYPE")))))</f>
        <v/>
      </c>
      <c r="AH28" s="68" t="str">
        <f>IF($F$8=TRUE,IF($C28="DUCTED",VLOOKUP($F28,'DX-Data'!$F$5:$J$11,5,TRUE),IF($C28="DECORATIVE",VLOOKUP($F28,'DX-Data'!$F$19:$J$23,5,TRUE),IF($C28="PACKAGED",VLOOKUP($F28,'DX-Data'!$F$24:$J$30,5,TRUE),IF($C28="DUCTED-INV",VLOOKUP($F28,'DX-Data'!$F$12:$J$18,5,TRUE),"CHOOSE AC TYPE")))),"NO SELECTION")</f>
        <v>NO SELECTION</v>
      </c>
      <c r="AI28" s="68" t="str">
        <f>IF($G$8=TRUE,IF($C28="DUCTED",VLOOKUP($G28,'DX-Data'!$H$5:$J$11,3,TRUE),IF($C28="DECORATIVE",VLOOKUP($G28,'DX-Data'!$H$19:$J$23,3,TRUE),IF($C28="PACKAGED",VLOOKUP($G28,'DX-Data'!$H$24:$J$30,3,TRUE),IF($C28="DUCTED-INV",VLOOKUP($G28,'DX-Data'!$H$12:$J$18,3,TRUE),"CHOOSE AC TYPE")))),"NO SELECTION")</f>
        <v>NO SELECTION</v>
      </c>
      <c r="AJ28" s="69" t="str">
        <f>IF($E28="","",IF($C28="DUCTED",VLOOKUP($E28,'DX-Data'!$D$5:$J$11,6,TRUE),IF($C28="DECORATIVE",VLOOKUP($E28,'DX-Data'!$D$19:$J$23,6,TRUE),IF($C28="PACKAGED",VLOOKUP($E28,'DX-Data'!$D$24:$J$30,6,TRUE),IF($C28="DUCTED-INV",VLOOKUP($E28,'DX-Data'!$D$12:$J$18,6,TRUE),0)))))</f>
        <v/>
      </c>
      <c r="AK28" s="69">
        <f>IF($F$8=TRUE,IF($C28="DUCTED",VLOOKUP($F28,'DX-Data'!$F$5:$J$11,4,TRUE),IF($C28="DECORATIVE",VLOOKUP($F28,'DX-Data'!$F$19:$J$23,4,TRUE),IF($C28="PACKAGED",VLOOKUP($F28,'DX-Data'!$F$24:$J$30,4,TRUE),IF($C28="DUCTED-INV",VLOOKUP($F28,'DX-Data'!$F$12:$J$18,4,TRUE),"CHOOSE AC TYPE")))),0)</f>
        <v>0</v>
      </c>
      <c r="AL28" s="69">
        <f>IF($G$8=TRUE,IF($C28="DUCTED",VLOOKUP($G28,'DX-Data'!$H$5:$J$11,2,TRUE),IF($C28="DECORATIVE",VLOOKUP($G28,'DX-Data'!$H$19:$J$23,2,TRUE),IF($C28="PACKAGED",VLOOKUP($G28,'DX-Data'!$H$24:$J$30,2,TRUE),IF($C28="DUCTED-INV",VLOOKUP($G28,'DX-Data'!$H$12:$J$18,2,TRUE),"CHOOSE AC TYPE")))),0)</f>
        <v>0</v>
      </c>
      <c r="AM28" s="69">
        <f t="shared" si="2"/>
        <v>0</v>
      </c>
      <c r="AN28" s="68" t="str">
        <f>IF(E28="","",VLOOKUP($AM28,'DX-Data'!$I$5:$J$31,2,FALSE))</f>
        <v/>
      </c>
      <c r="AO28" s="69" t="str">
        <f t="shared" si="3"/>
        <v/>
      </c>
    </row>
    <row r="29" spans="2:44" x14ac:dyDescent="0.3">
      <c r="B29" s="64"/>
      <c r="C29" s="24"/>
      <c r="D29" s="25"/>
      <c r="E29" s="24"/>
      <c r="F29" s="24"/>
      <c r="G29" s="74"/>
      <c r="H29" s="66" t="str">
        <f t="shared" si="0"/>
        <v/>
      </c>
      <c r="I29" s="2" t="str">
        <f t="shared" si="1"/>
        <v/>
      </c>
      <c r="J29" s="21" t="str">
        <f>IF($H29="","",VLOOKUP($H29,Data!$C$6:$Y$29,2,FALSE))</f>
        <v/>
      </c>
      <c r="K29" s="2" t="str">
        <f>IF($H29="","",VLOOKUP($H29,Data!$C$6:$Y$29,3,FALSE))</f>
        <v/>
      </c>
      <c r="L29" s="2" t="str">
        <f>IF($H29="","",VLOOKUP($H29,Data!$C$6:$Y$29,4,FALSE))</f>
        <v/>
      </c>
      <c r="M29" s="2" t="str">
        <f>IF($H29="","",VLOOKUP($H29,Data!$C$6:$Y$29,5,FALSE))</f>
        <v/>
      </c>
      <c r="N29" s="2" t="str">
        <f>IF($H29="","",VLOOKUP($H29,Data!$C$6:$Y$29,6,FALSE))</f>
        <v/>
      </c>
      <c r="O29" s="2" t="str">
        <f>IF($H29="","",VLOOKUP($H29,Data!$C$6:$Y$29,7,FALSE))</f>
        <v/>
      </c>
      <c r="P29" s="2" t="str">
        <f>IF($H29="","",VLOOKUP($H29,Data!$C$6:$Y$29,8,FALSE))</f>
        <v/>
      </c>
      <c r="Q29" s="2" t="str">
        <f>IF($H29="","",VLOOKUP($H29,Data!$C$6:$Y$29,9,FALSE))</f>
        <v/>
      </c>
      <c r="R29" s="2" t="str">
        <f>IF($H29="","",VLOOKUP($H29,Data!$C$6:$Y$29,10,FALSE))</f>
        <v/>
      </c>
      <c r="S29" s="2" t="str">
        <f>IF($H29="","",VLOOKUP($H29,Data!$C$6:$Y$29,11,FALSE))</f>
        <v/>
      </c>
      <c r="T29" s="2" t="str">
        <f>IF($H29="","",VLOOKUP($H29,Data!$C$6:$Y$29,12,FALSE))</f>
        <v/>
      </c>
      <c r="U29" s="2" t="str">
        <f>IF($H29="","",VLOOKUP($H29,Data!$C$6:$Y$29,13,FALSE))</f>
        <v/>
      </c>
      <c r="V29" s="2" t="str">
        <f>IF($H29="","",VLOOKUP($H29,Data!$C$6:$Y$29,14,FALSE))</f>
        <v/>
      </c>
      <c r="W29" s="2" t="str">
        <f>IF($H29="","",VLOOKUP($H29,Data!$C$6:$Y$29,15,FALSE))</f>
        <v/>
      </c>
      <c r="X29" s="2" t="str">
        <f>IF($H29="","",VLOOKUP($H29,Data!$C$6:$Y$29,16,FALSE))</f>
        <v/>
      </c>
      <c r="Y29" s="2" t="str">
        <f>IF($H29="","",VLOOKUP($H29,Data!$C$6:$Y$29,17,FALSE))</f>
        <v/>
      </c>
      <c r="Z29" s="2" t="str">
        <f>IF($H29="","",VLOOKUP($H29,Data!$C$6:$Y$29,18,FALSE))</f>
        <v/>
      </c>
      <c r="AA29" s="2" t="str">
        <f>IF($H29="","",VLOOKUP($H29,Data!$C$6:$Y$29,19,FALSE))</f>
        <v/>
      </c>
      <c r="AB29" s="2" t="str">
        <f>IF($H29="","",VLOOKUP($H29,Data!$C$6:$Y$29,20,FALSE))</f>
        <v/>
      </c>
      <c r="AC29" s="2" t="str">
        <f>IF($H29="","",VLOOKUP($H29,Data!$C$6:$Y$29,21,FALSE))</f>
        <v/>
      </c>
      <c r="AD29" s="2" t="str">
        <f>IF($H29="","",VLOOKUP($H29,Data!$C$6:$Y$29,22,FALSE))</f>
        <v/>
      </c>
      <c r="AE29" s="3" t="str">
        <f>IF($H29="","",VLOOKUP($H29,Data!$C$6:$Y$29,23,FALSE))</f>
        <v/>
      </c>
      <c r="AG29" s="68" t="str">
        <f>IF($E29="","",IF($C29="DUCTED",VLOOKUP($E29,'DX-Data'!$D$5:$J$11,7,TRUE),IF($C29="DECORATIVE",VLOOKUP($E29,'DX-Data'!$D$19:$J$23,7,TRUE),IF($C29="PACKAGED",VLOOKUP($E29,'DX-Data'!$D$24:$J$30,7,TRUE),IF($C29="DUCTED-INV",VLOOKUP($E29,'DX-Data'!$D$12:$J$18,7,TRUE),"CHOOSE AC TYPE")))))</f>
        <v/>
      </c>
      <c r="AH29" s="68" t="str">
        <f>IF($F$8=TRUE,IF($C29="DUCTED",VLOOKUP($F29,'DX-Data'!$F$5:$J$11,5,TRUE),IF($C29="DECORATIVE",VLOOKUP($F29,'DX-Data'!$F$19:$J$23,5,TRUE),IF($C29="PACKAGED",VLOOKUP($F29,'DX-Data'!$F$24:$J$30,5,TRUE),IF($C29="DUCTED-INV",VLOOKUP($F29,'DX-Data'!$F$12:$J$18,5,TRUE),"CHOOSE AC TYPE")))),"NO SELECTION")</f>
        <v>NO SELECTION</v>
      </c>
      <c r="AI29" s="68" t="str">
        <f>IF($G$8=TRUE,IF($C29="DUCTED",VLOOKUP($G29,'DX-Data'!$H$5:$J$11,3,TRUE),IF($C29="DECORATIVE",VLOOKUP($G29,'DX-Data'!$H$19:$J$23,3,TRUE),IF($C29="PACKAGED",VLOOKUP($G29,'DX-Data'!$H$24:$J$30,3,TRUE),IF($C29="DUCTED-INV",VLOOKUP($G29,'DX-Data'!$H$12:$J$18,3,TRUE),"CHOOSE AC TYPE")))),"NO SELECTION")</f>
        <v>NO SELECTION</v>
      </c>
      <c r="AJ29" s="69" t="str">
        <f>IF($E29="","",IF($C29="DUCTED",VLOOKUP($E29,'DX-Data'!$D$5:$J$11,6,TRUE),IF($C29="DECORATIVE",VLOOKUP($E29,'DX-Data'!$D$19:$J$23,6,TRUE),IF($C29="PACKAGED",VLOOKUP($E29,'DX-Data'!$D$24:$J$30,6,TRUE),IF($C29="DUCTED-INV",VLOOKUP($E29,'DX-Data'!$D$12:$J$18,6,TRUE),0)))))</f>
        <v/>
      </c>
      <c r="AK29" s="69">
        <f>IF($F$8=TRUE,IF($C29="DUCTED",VLOOKUP($F29,'DX-Data'!$F$5:$J$11,4,TRUE),IF($C29="DECORATIVE",VLOOKUP($F29,'DX-Data'!$F$19:$J$23,4,TRUE),IF($C29="PACKAGED",VLOOKUP($F29,'DX-Data'!$F$24:$J$30,4,TRUE),IF($C29="DUCTED-INV",VLOOKUP($F29,'DX-Data'!$F$12:$J$18,4,TRUE),"CHOOSE AC TYPE")))),0)</f>
        <v>0</v>
      </c>
      <c r="AL29" s="69">
        <f>IF($G$8=TRUE,IF($C29="DUCTED",VLOOKUP($G29,'DX-Data'!$H$5:$J$11,2,TRUE),IF($C29="DECORATIVE",VLOOKUP($G29,'DX-Data'!$H$19:$J$23,2,TRUE),IF($C29="PACKAGED",VLOOKUP($G29,'DX-Data'!$H$24:$J$30,2,TRUE),IF($C29="DUCTED-INV",VLOOKUP($G29,'DX-Data'!$H$12:$J$18,2,TRUE),"CHOOSE AC TYPE")))),0)</f>
        <v>0</v>
      </c>
      <c r="AM29" s="69">
        <f t="shared" si="2"/>
        <v>0</v>
      </c>
      <c r="AN29" s="68" t="str">
        <f>IF(E29="","",VLOOKUP($AM29,'DX-Data'!$I$5:$J$31,2,FALSE))</f>
        <v/>
      </c>
      <c r="AO29" s="69" t="str">
        <f t="shared" si="3"/>
        <v/>
      </c>
    </row>
    <row r="30" spans="2:44" x14ac:dyDescent="0.3">
      <c r="B30" s="64"/>
      <c r="C30" s="24"/>
      <c r="D30" s="25"/>
      <c r="E30" s="24"/>
      <c r="F30" s="24"/>
      <c r="G30" s="74"/>
      <c r="H30" s="66" t="str">
        <f t="shared" si="0"/>
        <v/>
      </c>
      <c r="I30" s="2" t="str">
        <f t="shared" si="1"/>
        <v/>
      </c>
      <c r="J30" s="21" t="str">
        <f>IF($H30="","",VLOOKUP($H30,Data!$C$6:$Y$29,2,FALSE))</f>
        <v/>
      </c>
      <c r="K30" s="2" t="str">
        <f>IF($H30="","",VLOOKUP($H30,Data!$C$6:$Y$29,3,FALSE))</f>
        <v/>
      </c>
      <c r="L30" s="2" t="str">
        <f>IF($H30="","",VLOOKUP($H30,Data!$C$6:$Y$29,4,FALSE))</f>
        <v/>
      </c>
      <c r="M30" s="2" t="str">
        <f>IF($H30="","",VLOOKUP($H30,Data!$C$6:$Y$29,5,FALSE))</f>
        <v/>
      </c>
      <c r="N30" s="2" t="str">
        <f>IF($H30="","",VLOOKUP($H30,Data!$C$6:$Y$29,6,FALSE))</f>
        <v/>
      </c>
      <c r="O30" s="2" t="str">
        <f>IF($H30="","",VLOOKUP($H30,Data!$C$6:$Y$29,7,FALSE))</f>
        <v/>
      </c>
      <c r="P30" s="2" t="str">
        <f>IF($H30="","",VLOOKUP($H30,Data!$C$6:$Y$29,8,FALSE))</f>
        <v/>
      </c>
      <c r="Q30" s="2" t="str">
        <f>IF($H30="","",VLOOKUP($H30,Data!$C$6:$Y$29,9,FALSE))</f>
        <v/>
      </c>
      <c r="R30" s="2" t="str">
        <f>IF($H30="","",VLOOKUP($H30,Data!$C$6:$Y$29,10,FALSE))</f>
        <v/>
      </c>
      <c r="S30" s="2" t="str">
        <f>IF($H30="","",VLOOKUP($H30,Data!$C$6:$Y$29,11,FALSE))</f>
        <v/>
      </c>
      <c r="T30" s="2" t="str">
        <f>IF($H30="","",VLOOKUP($H30,Data!$C$6:$Y$29,12,FALSE))</f>
        <v/>
      </c>
      <c r="U30" s="2" t="str">
        <f>IF($H30="","",VLOOKUP($H30,Data!$C$6:$Y$29,13,FALSE))</f>
        <v/>
      </c>
      <c r="V30" s="2" t="str">
        <f>IF($H30="","",VLOOKUP($H30,Data!$C$6:$Y$29,14,FALSE))</f>
        <v/>
      </c>
      <c r="W30" s="2" t="str">
        <f>IF($H30="","",VLOOKUP($H30,Data!$C$6:$Y$29,15,FALSE))</f>
        <v/>
      </c>
      <c r="X30" s="2" t="str">
        <f>IF($H30="","",VLOOKUP($H30,Data!$C$6:$Y$29,16,FALSE))</f>
        <v/>
      </c>
      <c r="Y30" s="2" t="str">
        <f>IF($H30="","",VLOOKUP($H30,Data!$C$6:$Y$29,17,FALSE))</f>
        <v/>
      </c>
      <c r="Z30" s="2" t="str">
        <f>IF($H30="","",VLOOKUP($H30,Data!$C$6:$Y$29,18,FALSE))</f>
        <v/>
      </c>
      <c r="AA30" s="2" t="str">
        <f>IF($H30="","",VLOOKUP($H30,Data!$C$6:$Y$29,19,FALSE))</f>
        <v/>
      </c>
      <c r="AB30" s="2" t="str">
        <f>IF($H30="","",VLOOKUP($H30,Data!$C$6:$Y$29,20,FALSE))</f>
        <v/>
      </c>
      <c r="AC30" s="2" t="str">
        <f>IF($H30="","",VLOOKUP($H30,Data!$C$6:$Y$29,21,FALSE))</f>
        <v/>
      </c>
      <c r="AD30" s="2" t="str">
        <f>IF($H30="","",VLOOKUP($H30,Data!$C$6:$Y$29,22,FALSE))</f>
        <v/>
      </c>
      <c r="AE30" s="3" t="str">
        <f>IF($H30="","",VLOOKUP($H30,Data!$C$6:$Y$29,23,FALSE))</f>
        <v/>
      </c>
      <c r="AG30" s="68" t="str">
        <f>IF($E30="","",IF($C30="DUCTED",VLOOKUP($E30,'DX-Data'!$D$5:$J$11,7,TRUE),IF($C30="DECORATIVE",VLOOKUP($E30,'DX-Data'!$D$19:$J$23,7,TRUE),IF($C30="PACKAGED",VLOOKUP($E30,'DX-Data'!$D$24:$J$30,7,TRUE),IF($C30="DUCTED-INV",VLOOKUP($E30,'DX-Data'!$D$12:$J$18,7,TRUE),"CHOOSE AC TYPE")))))</f>
        <v/>
      </c>
      <c r="AH30" s="68" t="str">
        <f>IF($F$8=TRUE,IF($C30="DUCTED",VLOOKUP($F30,'DX-Data'!$F$5:$J$11,5,TRUE),IF($C30="DECORATIVE",VLOOKUP($F30,'DX-Data'!$F$19:$J$23,5,TRUE),IF($C30="PACKAGED",VLOOKUP($F30,'DX-Data'!$F$24:$J$30,5,TRUE),IF($C30="DUCTED-INV",VLOOKUP($F30,'DX-Data'!$F$12:$J$18,5,TRUE),"CHOOSE AC TYPE")))),"NO SELECTION")</f>
        <v>NO SELECTION</v>
      </c>
      <c r="AI30" s="68" t="str">
        <f>IF($G$8=TRUE,IF($C30="DUCTED",VLOOKUP($G30,'DX-Data'!$H$5:$J$11,3,TRUE),IF($C30="DECORATIVE",VLOOKUP($G30,'DX-Data'!$H$19:$J$23,3,TRUE),IF($C30="PACKAGED",VLOOKUP($G30,'DX-Data'!$H$24:$J$30,3,TRUE),IF($C30="DUCTED-INV",VLOOKUP($G30,'DX-Data'!$H$12:$J$18,3,TRUE),"CHOOSE AC TYPE")))),"NO SELECTION")</f>
        <v>NO SELECTION</v>
      </c>
      <c r="AJ30" s="69" t="str">
        <f>IF($E30="","",IF($C30="DUCTED",VLOOKUP($E30,'DX-Data'!$D$5:$J$11,6,TRUE),IF($C30="DECORATIVE",VLOOKUP($E30,'DX-Data'!$D$19:$J$23,6,TRUE),IF($C30="PACKAGED",VLOOKUP($E30,'DX-Data'!$D$24:$J$30,6,TRUE),IF($C30="DUCTED-INV",VLOOKUP($E30,'DX-Data'!$D$12:$J$18,6,TRUE),0)))))</f>
        <v/>
      </c>
      <c r="AK30" s="69">
        <f>IF($F$8=TRUE,IF($C30="DUCTED",VLOOKUP($F30,'DX-Data'!$F$5:$J$11,4,TRUE),IF($C30="DECORATIVE",VLOOKUP($F30,'DX-Data'!$F$19:$J$23,4,TRUE),IF($C30="PACKAGED",VLOOKUP($F30,'DX-Data'!$F$24:$J$30,4,TRUE),IF($C30="DUCTED-INV",VLOOKUP($F30,'DX-Data'!$F$12:$J$18,4,TRUE),"CHOOSE AC TYPE")))),0)</f>
        <v>0</v>
      </c>
      <c r="AL30" s="69">
        <f>IF($G$8=TRUE,IF($C30="DUCTED",VLOOKUP($G30,'DX-Data'!$H$5:$J$11,2,TRUE),IF($C30="DECORATIVE",VLOOKUP($G30,'DX-Data'!$H$19:$J$23,2,TRUE),IF($C30="PACKAGED",VLOOKUP($G30,'DX-Data'!$H$24:$J$30,2,TRUE),IF($C30="DUCTED-INV",VLOOKUP($G30,'DX-Data'!$H$12:$J$18,2,TRUE),"CHOOSE AC TYPE")))),0)</f>
        <v>0</v>
      </c>
      <c r="AM30" s="69">
        <f t="shared" si="2"/>
        <v>0</v>
      </c>
      <c r="AN30" s="68" t="str">
        <f>IF(E30="","",VLOOKUP($AM30,'DX-Data'!$I$5:$J$31,2,FALSE))</f>
        <v/>
      </c>
      <c r="AO30" s="69" t="str">
        <f t="shared" si="3"/>
        <v/>
      </c>
    </row>
    <row r="31" spans="2:44" x14ac:dyDescent="0.3">
      <c r="B31" s="64"/>
      <c r="C31" s="24"/>
      <c r="D31" s="25"/>
      <c r="E31" s="24"/>
      <c r="F31" s="24"/>
      <c r="G31" s="74"/>
      <c r="H31" s="66" t="str">
        <f t="shared" si="0"/>
        <v/>
      </c>
      <c r="I31" s="2" t="str">
        <f t="shared" si="1"/>
        <v/>
      </c>
      <c r="J31" s="21" t="str">
        <f>IF($H31="","",VLOOKUP($H31,Data!$C$6:$Y$29,2,FALSE))</f>
        <v/>
      </c>
      <c r="K31" s="2" t="str">
        <f>IF($H31="","",VLOOKUP($H31,Data!$C$6:$Y$29,3,FALSE))</f>
        <v/>
      </c>
      <c r="L31" s="2" t="str">
        <f>IF($H31="","",VLOOKUP($H31,Data!$C$6:$Y$29,4,FALSE))</f>
        <v/>
      </c>
      <c r="M31" s="2" t="str">
        <f>IF($H31="","",VLOOKUP($H31,Data!$C$6:$Y$29,5,FALSE))</f>
        <v/>
      </c>
      <c r="N31" s="2" t="str">
        <f>IF($H31="","",VLOOKUP($H31,Data!$C$6:$Y$29,6,FALSE))</f>
        <v/>
      </c>
      <c r="O31" s="2" t="str">
        <f>IF($H31="","",VLOOKUP($H31,Data!$C$6:$Y$29,7,FALSE))</f>
        <v/>
      </c>
      <c r="P31" s="2" t="str">
        <f>IF($H31="","",VLOOKUP($H31,Data!$C$6:$Y$29,8,FALSE))</f>
        <v/>
      </c>
      <c r="Q31" s="2" t="str">
        <f>IF($H31="","",VLOOKUP($H31,Data!$C$6:$Y$29,9,FALSE))</f>
        <v/>
      </c>
      <c r="R31" s="2" t="str">
        <f>IF($H31="","",VLOOKUP($H31,Data!$C$6:$Y$29,10,FALSE))</f>
        <v/>
      </c>
      <c r="S31" s="2" t="str">
        <f>IF($H31="","",VLOOKUP($H31,Data!$C$6:$Y$29,11,FALSE))</f>
        <v/>
      </c>
      <c r="T31" s="2" t="str">
        <f>IF($H31="","",VLOOKUP($H31,Data!$C$6:$Y$29,12,FALSE))</f>
        <v/>
      </c>
      <c r="U31" s="2" t="str">
        <f>IF($H31="","",VLOOKUP($H31,Data!$C$6:$Y$29,13,FALSE))</f>
        <v/>
      </c>
      <c r="V31" s="2" t="str">
        <f>IF($H31="","",VLOOKUP($H31,Data!$C$6:$Y$29,14,FALSE))</f>
        <v/>
      </c>
      <c r="W31" s="2" t="str">
        <f>IF($H31="","",VLOOKUP($H31,Data!$C$6:$Y$29,15,FALSE))</f>
        <v/>
      </c>
      <c r="X31" s="2" t="str">
        <f>IF($H31="","",VLOOKUP($H31,Data!$C$6:$Y$29,16,FALSE))</f>
        <v/>
      </c>
      <c r="Y31" s="2" t="str">
        <f>IF($H31="","",VLOOKUP($H31,Data!$C$6:$Y$29,17,FALSE))</f>
        <v/>
      </c>
      <c r="Z31" s="2" t="str">
        <f>IF($H31="","",VLOOKUP($H31,Data!$C$6:$Y$29,18,FALSE))</f>
        <v/>
      </c>
      <c r="AA31" s="2" t="str">
        <f>IF($H31="","",VLOOKUP($H31,Data!$C$6:$Y$29,19,FALSE))</f>
        <v/>
      </c>
      <c r="AB31" s="2" t="str">
        <f>IF($H31="","",VLOOKUP($H31,Data!$C$6:$Y$29,20,FALSE))</f>
        <v/>
      </c>
      <c r="AC31" s="2" t="str">
        <f>IF($H31="","",VLOOKUP($H31,Data!$C$6:$Y$29,21,FALSE))</f>
        <v/>
      </c>
      <c r="AD31" s="2" t="str">
        <f>IF($H31="","",VLOOKUP($H31,Data!$C$6:$Y$29,22,FALSE))</f>
        <v/>
      </c>
      <c r="AE31" s="3" t="str">
        <f>IF($H31="","",VLOOKUP($H31,Data!$C$6:$Y$29,23,FALSE))</f>
        <v/>
      </c>
      <c r="AG31" s="68" t="str">
        <f>IF($E31="","",IF($C31="DUCTED",VLOOKUP($E31,'DX-Data'!$D$5:$J$11,7,TRUE),IF($C31="DECORATIVE",VLOOKUP($E31,'DX-Data'!$D$19:$J$23,7,TRUE),IF($C31="PACKAGED",VLOOKUP($E31,'DX-Data'!$D$24:$J$30,7,TRUE),IF($C31="DUCTED-INV",VLOOKUP($E31,'DX-Data'!$D$12:$J$18,7,TRUE),"CHOOSE AC TYPE")))))</f>
        <v/>
      </c>
      <c r="AH31" s="68" t="str">
        <f>IF($F$8=TRUE,IF($C31="DUCTED",VLOOKUP($F31,'DX-Data'!$F$5:$J$11,5,TRUE),IF($C31="DECORATIVE",VLOOKUP($F31,'DX-Data'!$F$19:$J$23,5,TRUE),IF($C31="PACKAGED",VLOOKUP($F31,'DX-Data'!$F$24:$J$30,5,TRUE),IF($C31="DUCTED-INV",VLOOKUP($F31,'DX-Data'!$F$12:$J$18,5,TRUE),"CHOOSE AC TYPE")))),"NO SELECTION")</f>
        <v>NO SELECTION</v>
      </c>
      <c r="AI31" s="68" t="str">
        <f>IF($G$8=TRUE,IF($C31="DUCTED",VLOOKUP($G31,'DX-Data'!$H$5:$J$11,3,TRUE),IF($C31="DECORATIVE",VLOOKUP($G31,'DX-Data'!$H$19:$J$23,3,TRUE),IF($C31="PACKAGED",VLOOKUP($G31,'DX-Data'!$H$24:$J$30,3,TRUE),IF($C31="DUCTED-INV",VLOOKUP($G31,'DX-Data'!$H$12:$J$18,3,TRUE),"CHOOSE AC TYPE")))),"NO SELECTION")</f>
        <v>NO SELECTION</v>
      </c>
      <c r="AJ31" s="69" t="str">
        <f>IF($E31="","",IF($C31="DUCTED",VLOOKUP($E31,'DX-Data'!$D$5:$J$11,6,TRUE),IF($C31="DECORATIVE",VLOOKUP($E31,'DX-Data'!$D$19:$J$23,6,TRUE),IF($C31="PACKAGED",VLOOKUP($E31,'DX-Data'!$D$24:$J$30,6,TRUE),IF($C31="DUCTED-INV",VLOOKUP($E31,'DX-Data'!$D$12:$J$18,6,TRUE),0)))))</f>
        <v/>
      </c>
      <c r="AK31" s="69">
        <f>IF($F$8=TRUE,IF($C31="DUCTED",VLOOKUP($F31,'DX-Data'!$F$5:$J$11,4,TRUE),IF($C31="DECORATIVE",VLOOKUP($F31,'DX-Data'!$F$19:$J$23,4,TRUE),IF($C31="PACKAGED",VLOOKUP($F31,'DX-Data'!$F$24:$J$30,4,TRUE),IF($C31="DUCTED-INV",VLOOKUP($F31,'DX-Data'!$F$12:$J$18,4,TRUE),"CHOOSE AC TYPE")))),0)</f>
        <v>0</v>
      </c>
      <c r="AL31" s="69">
        <f>IF($G$8=TRUE,IF($C31="DUCTED",VLOOKUP($G31,'DX-Data'!$H$5:$J$11,2,TRUE),IF($C31="DECORATIVE",VLOOKUP($G31,'DX-Data'!$H$19:$J$23,2,TRUE),IF($C31="PACKAGED",VLOOKUP($G31,'DX-Data'!$H$24:$J$30,2,TRUE),IF($C31="DUCTED-INV",VLOOKUP($G31,'DX-Data'!$H$12:$J$18,2,TRUE),"CHOOSE AC TYPE")))),0)</f>
        <v>0</v>
      </c>
      <c r="AM31" s="69">
        <f t="shared" si="2"/>
        <v>0</v>
      </c>
      <c r="AN31" s="68" t="str">
        <f>IF(E31="","",VLOOKUP($AM31,'DX-Data'!$I$5:$J$31,2,FALSE))</f>
        <v/>
      </c>
      <c r="AO31" s="69" t="str">
        <f t="shared" si="3"/>
        <v/>
      </c>
    </row>
    <row r="32" spans="2:44" x14ac:dyDescent="0.3">
      <c r="B32" s="64"/>
      <c r="C32" s="24"/>
      <c r="D32" s="25"/>
      <c r="E32" s="24"/>
      <c r="F32" s="24"/>
      <c r="G32" s="74"/>
      <c r="H32" s="66" t="str">
        <f t="shared" si="0"/>
        <v/>
      </c>
      <c r="I32" s="2" t="str">
        <f t="shared" si="1"/>
        <v/>
      </c>
      <c r="J32" s="21" t="str">
        <f>IF($H32="","",VLOOKUP($H32,Data!$C$6:$Y$29,2,FALSE))</f>
        <v/>
      </c>
      <c r="K32" s="2" t="str">
        <f>IF($H32="","",VLOOKUP($H32,Data!$C$6:$Y$29,3,FALSE))</f>
        <v/>
      </c>
      <c r="L32" s="2" t="str">
        <f>IF($H32="","",VLOOKUP($H32,Data!$C$6:$Y$29,4,FALSE))</f>
        <v/>
      </c>
      <c r="M32" s="2" t="str">
        <f>IF($H32="","",VLOOKUP($H32,Data!$C$6:$Y$29,5,FALSE))</f>
        <v/>
      </c>
      <c r="N32" s="2" t="str">
        <f>IF($H32="","",VLOOKUP($H32,Data!$C$6:$Y$29,6,FALSE))</f>
        <v/>
      </c>
      <c r="O32" s="2" t="str">
        <f>IF($H32="","",VLOOKUP($H32,Data!$C$6:$Y$29,7,FALSE))</f>
        <v/>
      </c>
      <c r="P32" s="2" t="str">
        <f>IF($H32="","",VLOOKUP($H32,Data!$C$6:$Y$29,8,FALSE))</f>
        <v/>
      </c>
      <c r="Q32" s="2" t="str">
        <f>IF($H32="","",VLOOKUP($H32,Data!$C$6:$Y$29,9,FALSE))</f>
        <v/>
      </c>
      <c r="R32" s="2" t="str">
        <f>IF($H32="","",VLOOKUP($H32,Data!$C$6:$Y$29,10,FALSE))</f>
        <v/>
      </c>
      <c r="S32" s="2" t="str">
        <f>IF($H32="","",VLOOKUP($H32,Data!$C$6:$Y$29,11,FALSE))</f>
        <v/>
      </c>
      <c r="T32" s="2" t="str">
        <f>IF($H32="","",VLOOKUP($H32,Data!$C$6:$Y$29,12,FALSE))</f>
        <v/>
      </c>
      <c r="U32" s="2" t="str">
        <f>IF($H32="","",VLOOKUP($H32,Data!$C$6:$Y$29,13,FALSE))</f>
        <v/>
      </c>
      <c r="V32" s="2" t="str">
        <f>IF($H32="","",VLOOKUP($H32,Data!$C$6:$Y$29,14,FALSE))</f>
        <v/>
      </c>
      <c r="W32" s="2" t="str">
        <f>IF($H32="","",VLOOKUP($H32,Data!$C$6:$Y$29,15,FALSE))</f>
        <v/>
      </c>
      <c r="X32" s="2" t="str">
        <f>IF($H32="","",VLOOKUP($H32,Data!$C$6:$Y$29,16,FALSE))</f>
        <v/>
      </c>
      <c r="Y32" s="2" t="str">
        <f>IF($H32="","",VLOOKUP($H32,Data!$C$6:$Y$29,17,FALSE))</f>
        <v/>
      </c>
      <c r="Z32" s="2" t="str">
        <f>IF($H32="","",VLOOKUP($H32,Data!$C$6:$Y$29,18,FALSE))</f>
        <v/>
      </c>
      <c r="AA32" s="2" t="str">
        <f>IF($H32="","",VLOOKUP($H32,Data!$C$6:$Y$29,19,FALSE))</f>
        <v/>
      </c>
      <c r="AB32" s="2" t="str">
        <f>IF($H32="","",VLOOKUP($H32,Data!$C$6:$Y$29,20,FALSE))</f>
        <v/>
      </c>
      <c r="AC32" s="2" t="str">
        <f>IF($H32="","",VLOOKUP($H32,Data!$C$6:$Y$29,21,FALSE))</f>
        <v/>
      </c>
      <c r="AD32" s="2" t="str">
        <f>IF($H32="","",VLOOKUP($H32,Data!$C$6:$Y$29,22,FALSE))</f>
        <v/>
      </c>
      <c r="AE32" s="3" t="str">
        <f>IF($H32="","",VLOOKUP($H32,Data!$C$6:$Y$29,23,FALSE))</f>
        <v/>
      </c>
      <c r="AG32" s="68" t="str">
        <f>IF($E32="","",IF($C32="DUCTED",VLOOKUP($E32,'DX-Data'!$D$5:$J$11,7,TRUE),IF($C32="DECORATIVE",VLOOKUP($E32,'DX-Data'!$D$19:$J$23,7,TRUE),IF($C32="PACKAGED",VLOOKUP($E32,'DX-Data'!$D$24:$J$30,7,TRUE),IF($C32="DUCTED-INV",VLOOKUP($E32,'DX-Data'!$D$12:$J$18,7,TRUE),"CHOOSE AC TYPE")))))</f>
        <v/>
      </c>
      <c r="AH32" s="68" t="str">
        <f>IF($F$8=TRUE,IF($C32="DUCTED",VLOOKUP($F32,'DX-Data'!$F$5:$J$11,5,TRUE),IF($C32="DECORATIVE",VLOOKUP($F32,'DX-Data'!$F$19:$J$23,5,TRUE),IF($C32="PACKAGED",VLOOKUP($F32,'DX-Data'!$F$24:$J$30,5,TRUE),IF($C32="DUCTED-INV",VLOOKUP($F32,'DX-Data'!$F$12:$J$18,5,TRUE),"CHOOSE AC TYPE")))),"NO SELECTION")</f>
        <v>NO SELECTION</v>
      </c>
      <c r="AI32" s="68" t="str">
        <f>IF($G$8=TRUE,IF($C32="DUCTED",VLOOKUP($G32,'DX-Data'!$H$5:$J$11,3,TRUE),IF($C32="DECORATIVE",VLOOKUP($G32,'DX-Data'!$H$19:$J$23,3,TRUE),IF($C32="PACKAGED",VLOOKUP($G32,'DX-Data'!$H$24:$J$30,3,TRUE),IF($C32="DUCTED-INV",VLOOKUP($G32,'DX-Data'!$H$12:$J$18,3,TRUE),"CHOOSE AC TYPE")))),"NO SELECTION")</f>
        <v>NO SELECTION</v>
      </c>
      <c r="AJ32" s="69" t="str">
        <f>IF($E32="","",IF($C32="DUCTED",VLOOKUP($E32,'DX-Data'!$D$5:$J$11,6,TRUE),IF($C32="DECORATIVE",VLOOKUP($E32,'DX-Data'!$D$19:$J$23,6,TRUE),IF($C32="PACKAGED",VLOOKUP($E32,'DX-Data'!$D$24:$J$30,6,TRUE),IF($C32="DUCTED-INV",VLOOKUP($E32,'DX-Data'!$D$12:$J$18,6,TRUE),0)))))</f>
        <v/>
      </c>
      <c r="AK32" s="69">
        <f>IF($F$8=TRUE,IF($C32="DUCTED",VLOOKUP($F32,'DX-Data'!$F$5:$J$11,4,TRUE),IF($C32="DECORATIVE",VLOOKUP($F32,'DX-Data'!$F$19:$J$23,4,TRUE),IF($C32="PACKAGED",VLOOKUP($F32,'DX-Data'!$F$24:$J$30,4,TRUE),IF($C32="DUCTED-INV",VLOOKUP($F32,'DX-Data'!$F$12:$J$18,4,TRUE),"CHOOSE AC TYPE")))),0)</f>
        <v>0</v>
      </c>
      <c r="AL32" s="69">
        <f>IF($G$8=TRUE,IF($C32="DUCTED",VLOOKUP($G32,'DX-Data'!$H$5:$J$11,2,TRUE),IF($C32="DECORATIVE",VLOOKUP($G32,'DX-Data'!$H$19:$J$23,2,TRUE),IF($C32="PACKAGED",VLOOKUP($G32,'DX-Data'!$H$24:$J$30,2,TRUE),IF($C32="DUCTED-INV",VLOOKUP($G32,'DX-Data'!$H$12:$J$18,2,TRUE),"CHOOSE AC TYPE")))),0)</f>
        <v>0</v>
      </c>
      <c r="AM32" s="69">
        <f t="shared" si="2"/>
        <v>0</v>
      </c>
      <c r="AN32" s="68" t="str">
        <f>IF(E32="","",VLOOKUP($AM32,'DX-Data'!$I$5:$J$31,2,FALSE))</f>
        <v/>
      </c>
      <c r="AO32" s="69" t="str">
        <f t="shared" si="3"/>
        <v/>
      </c>
    </row>
    <row r="33" spans="2:41" x14ac:dyDescent="0.3">
      <c r="B33" s="64"/>
      <c r="C33" s="24"/>
      <c r="D33" s="25"/>
      <c r="E33" s="24"/>
      <c r="F33" s="24"/>
      <c r="G33" s="74"/>
      <c r="H33" s="66" t="str">
        <f t="shared" si="0"/>
        <v/>
      </c>
      <c r="I33" s="2" t="str">
        <f t="shared" si="1"/>
        <v/>
      </c>
      <c r="J33" s="21" t="str">
        <f>IF($H33="","",VLOOKUP($H33,Data!$C$6:$Y$29,2,FALSE))</f>
        <v/>
      </c>
      <c r="K33" s="2" t="str">
        <f>IF($H33="","",VLOOKUP($H33,Data!$C$6:$Y$29,3,FALSE))</f>
        <v/>
      </c>
      <c r="L33" s="2" t="str">
        <f>IF($H33="","",VLOOKUP($H33,Data!$C$6:$Y$29,4,FALSE))</f>
        <v/>
      </c>
      <c r="M33" s="2" t="str">
        <f>IF($H33="","",VLOOKUP($H33,Data!$C$6:$Y$29,5,FALSE))</f>
        <v/>
      </c>
      <c r="N33" s="2" t="str">
        <f>IF($H33="","",VLOOKUP($H33,Data!$C$6:$Y$29,6,FALSE))</f>
        <v/>
      </c>
      <c r="O33" s="2" t="str">
        <f>IF($H33="","",VLOOKUP($H33,Data!$C$6:$Y$29,7,FALSE))</f>
        <v/>
      </c>
      <c r="P33" s="2" t="str">
        <f>IF($H33="","",VLOOKUP($H33,Data!$C$6:$Y$29,8,FALSE))</f>
        <v/>
      </c>
      <c r="Q33" s="2" t="str">
        <f>IF($H33="","",VLOOKUP($H33,Data!$C$6:$Y$29,9,FALSE))</f>
        <v/>
      </c>
      <c r="R33" s="2" t="str">
        <f>IF($H33="","",VLOOKUP($H33,Data!$C$6:$Y$29,10,FALSE))</f>
        <v/>
      </c>
      <c r="S33" s="2" t="str">
        <f>IF($H33="","",VLOOKUP($H33,Data!$C$6:$Y$29,11,FALSE))</f>
        <v/>
      </c>
      <c r="T33" s="2" t="str">
        <f>IF($H33="","",VLOOKUP($H33,Data!$C$6:$Y$29,12,FALSE))</f>
        <v/>
      </c>
      <c r="U33" s="2" t="str">
        <f>IF($H33="","",VLOOKUP($H33,Data!$C$6:$Y$29,13,FALSE))</f>
        <v/>
      </c>
      <c r="V33" s="2" t="str">
        <f>IF($H33="","",VLOOKUP($H33,Data!$C$6:$Y$29,14,FALSE))</f>
        <v/>
      </c>
      <c r="W33" s="2" t="str">
        <f>IF($H33="","",VLOOKUP($H33,Data!$C$6:$Y$29,15,FALSE))</f>
        <v/>
      </c>
      <c r="X33" s="2" t="str">
        <f>IF($H33="","",VLOOKUP($H33,Data!$C$6:$Y$29,16,FALSE))</f>
        <v/>
      </c>
      <c r="Y33" s="2" t="str">
        <f>IF($H33="","",VLOOKUP($H33,Data!$C$6:$Y$29,17,FALSE))</f>
        <v/>
      </c>
      <c r="Z33" s="2" t="str">
        <f>IF($H33="","",VLOOKUP($H33,Data!$C$6:$Y$29,18,FALSE))</f>
        <v/>
      </c>
      <c r="AA33" s="2" t="str">
        <f>IF($H33="","",VLOOKUP($H33,Data!$C$6:$Y$29,19,FALSE))</f>
        <v/>
      </c>
      <c r="AB33" s="2" t="str">
        <f>IF($H33="","",VLOOKUP($H33,Data!$C$6:$Y$29,20,FALSE))</f>
        <v/>
      </c>
      <c r="AC33" s="2" t="str">
        <f>IF($H33="","",VLOOKUP($H33,Data!$C$6:$Y$29,21,FALSE))</f>
        <v/>
      </c>
      <c r="AD33" s="2" t="str">
        <f>IF($H33="","",VLOOKUP($H33,Data!$C$6:$Y$29,22,FALSE))</f>
        <v/>
      </c>
      <c r="AE33" s="3" t="str">
        <f>IF($H33="","",VLOOKUP($H33,Data!$C$6:$Y$29,23,FALSE))</f>
        <v/>
      </c>
      <c r="AG33" s="68" t="str">
        <f>IF($E33="","",IF($C33="DUCTED",VLOOKUP($E33,'DX-Data'!$D$5:$J$11,7,TRUE),IF($C33="DECORATIVE",VLOOKUP($E33,'DX-Data'!$D$19:$J$23,7,TRUE),IF($C33="PACKAGED",VLOOKUP($E33,'DX-Data'!$D$24:$J$30,7,TRUE),IF($C33="DUCTED-INV",VLOOKUP($E33,'DX-Data'!$D$12:$J$18,7,TRUE),"CHOOSE AC TYPE")))))</f>
        <v/>
      </c>
      <c r="AH33" s="68" t="str">
        <f>IF($F$8=TRUE,IF($C33="DUCTED",VLOOKUP($F33,'DX-Data'!$F$5:$J$11,5,TRUE),IF($C33="DECORATIVE",VLOOKUP($F33,'DX-Data'!$F$19:$J$23,5,TRUE),IF($C33="PACKAGED",VLOOKUP($F33,'DX-Data'!$F$24:$J$30,5,TRUE),IF($C33="DUCTED-INV",VLOOKUP($F33,'DX-Data'!$F$12:$J$18,5,TRUE),"CHOOSE AC TYPE")))),"NO SELECTION")</f>
        <v>NO SELECTION</v>
      </c>
      <c r="AI33" s="68" t="str">
        <f>IF($G$8=TRUE,IF($C33="DUCTED",VLOOKUP($G33,'DX-Data'!$H$5:$J$11,3,TRUE),IF($C33="DECORATIVE",VLOOKUP($G33,'DX-Data'!$H$19:$J$23,3,TRUE),IF($C33="PACKAGED",VLOOKUP($G33,'DX-Data'!$H$24:$J$30,3,TRUE),IF($C33="DUCTED-INV",VLOOKUP($G33,'DX-Data'!$H$12:$J$18,3,TRUE),"CHOOSE AC TYPE")))),"NO SELECTION")</f>
        <v>NO SELECTION</v>
      </c>
      <c r="AJ33" s="69" t="str">
        <f>IF($E33="","",IF($C33="DUCTED",VLOOKUP($E33,'DX-Data'!$D$5:$J$11,6,TRUE),IF($C33="DECORATIVE",VLOOKUP($E33,'DX-Data'!$D$19:$J$23,6,TRUE),IF($C33="PACKAGED",VLOOKUP($E33,'DX-Data'!$D$24:$J$30,6,TRUE),IF($C33="DUCTED-INV",VLOOKUP($E33,'DX-Data'!$D$12:$J$18,6,TRUE),0)))))</f>
        <v/>
      </c>
      <c r="AK33" s="69">
        <f>IF($F$8=TRUE,IF($C33="DUCTED",VLOOKUP($F33,'DX-Data'!$F$5:$J$11,4,TRUE),IF($C33="DECORATIVE",VLOOKUP($F33,'DX-Data'!$F$19:$J$23,4,TRUE),IF($C33="PACKAGED",VLOOKUP($F33,'DX-Data'!$F$24:$J$30,4,TRUE),IF($C33="DUCTED-INV",VLOOKUP($F33,'DX-Data'!$F$12:$J$18,4,TRUE),"CHOOSE AC TYPE")))),0)</f>
        <v>0</v>
      </c>
      <c r="AL33" s="69">
        <f>IF($G$8=TRUE,IF($C33="DUCTED",VLOOKUP($G33,'DX-Data'!$H$5:$J$11,2,TRUE),IF($C33="DECORATIVE",VLOOKUP($G33,'DX-Data'!$H$19:$J$23,2,TRUE),IF($C33="PACKAGED",VLOOKUP($G33,'DX-Data'!$H$24:$J$30,2,TRUE),IF($C33="DUCTED-INV",VLOOKUP($G33,'DX-Data'!$H$12:$J$18,2,TRUE),"CHOOSE AC TYPE")))),0)</f>
        <v>0</v>
      </c>
      <c r="AM33" s="69">
        <f t="shared" si="2"/>
        <v>0</v>
      </c>
      <c r="AN33" s="68" t="str">
        <f>IF(E33="","",VLOOKUP($AM33,'DX-Data'!$I$5:$J$31,2,FALSE))</f>
        <v/>
      </c>
      <c r="AO33" s="69" t="str">
        <f t="shared" si="3"/>
        <v/>
      </c>
    </row>
    <row r="34" spans="2:41" x14ac:dyDescent="0.3">
      <c r="B34" s="64"/>
      <c r="C34" s="24"/>
      <c r="D34" s="25"/>
      <c r="E34" s="24"/>
      <c r="F34" s="24"/>
      <c r="G34" s="74"/>
      <c r="H34" s="66" t="str">
        <f t="shared" si="0"/>
        <v/>
      </c>
      <c r="I34" s="2" t="str">
        <f t="shared" si="1"/>
        <v/>
      </c>
      <c r="J34" s="21" t="str">
        <f>IF($H34="","",VLOOKUP($H34,Data!$C$6:$Y$29,2,FALSE))</f>
        <v/>
      </c>
      <c r="K34" s="2" t="str">
        <f>IF($H34="","",VLOOKUP($H34,Data!$C$6:$Y$29,3,FALSE))</f>
        <v/>
      </c>
      <c r="L34" s="2" t="str">
        <f>IF($H34="","",VLOOKUP($H34,Data!$C$6:$Y$29,4,FALSE))</f>
        <v/>
      </c>
      <c r="M34" s="2" t="str">
        <f>IF($H34="","",VLOOKUP($H34,Data!$C$6:$Y$29,5,FALSE))</f>
        <v/>
      </c>
      <c r="N34" s="2" t="str">
        <f>IF($H34="","",VLOOKUP($H34,Data!$C$6:$Y$29,6,FALSE))</f>
        <v/>
      </c>
      <c r="O34" s="2" t="str">
        <f>IF($H34="","",VLOOKUP($H34,Data!$C$6:$Y$29,7,FALSE))</f>
        <v/>
      </c>
      <c r="P34" s="2" t="str">
        <f>IF($H34="","",VLOOKUP($H34,Data!$C$6:$Y$29,8,FALSE))</f>
        <v/>
      </c>
      <c r="Q34" s="2" t="str">
        <f>IF($H34="","",VLOOKUP($H34,Data!$C$6:$Y$29,9,FALSE))</f>
        <v/>
      </c>
      <c r="R34" s="2" t="str">
        <f>IF($H34="","",VLOOKUP($H34,Data!$C$6:$Y$29,10,FALSE))</f>
        <v/>
      </c>
      <c r="S34" s="2" t="str">
        <f>IF($H34="","",VLOOKUP($H34,Data!$C$6:$Y$29,11,FALSE))</f>
        <v/>
      </c>
      <c r="T34" s="2" t="str">
        <f>IF($H34="","",VLOOKUP($H34,Data!$C$6:$Y$29,12,FALSE))</f>
        <v/>
      </c>
      <c r="U34" s="2" t="str">
        <f>IF($H34="","",VLOOKUP($H34,Data!$C$6:$Y$29,13,FALSE))</f>
        <v/>
      </c>
      <c r="V34" s="2" t="str">
        <f>IF($H34="","",VLOOKUP($H34,Data!$C$6:$Y$29,14,FALSE))</f>
        <v/>
      </c>
      <c r="W34" s="2" t="str">
        <f>IF($H34="","",VLOOKUP($H34,Data!$C$6:$Y$29,15,FALSE))</f>
        <v/>
      </c>
      <c r="X34" s="2" t="str">
        <f>IF($H34="","",VLOOKUP($H34,Data!$C$6:$Y$29,16,FALSE))</f>
        <v/>
      </c>
      <c r="Y34" s="2" t="str">
        <f>IF($H34="","",VLOOKUP($H34,Data!$C$6:$Y$29,17,FALSE))</f>
        <v/>
      </c>
      <c r="Z34" s="2" t="str">
        <f>IF($H34="","",VLOOKUP($H34,Data!$C$6:$Y$29,18,FALSE))</f>
        <v/>
      </c>
      <c r="AA34" s="2" t="str">
        <f>IF($H34="","",VLOOKUP($H34,Data!$C$6:$Y$29,19,FALSE))</f>
        <v/>
      </c>
      <c r="AB34" s="2" t="str">
        <f>IF($H34="","",VLOOKUP($H34,Data!$C$6:$Y$29,20,FALSE))</f>
        <v/>
      </c>
      <c r="AC34" s="2" t="str">
        <f>IF($H34="","",VLOOKUP($H34,Data!$C$6:$Y$29,21,FALSE))</f>
        <v/>
      </c>
      <c r="AD34" s="2" t="str">
        <f>IF($H34="","",VLOOKUP($H34,Data!$C$6:$Y$29,22,FALSE))</f>
        <v/>
      </c>
      <c r="AE34" s="3" t="str">
        <f>IF($H34="","",VLOOKUP($H34,Data!$C$6:$Y$29,23,FALSE))</f>
        <v/>
      </c>
      <c r="AG34" s="68" t="str">
        <f>IF($E34="","",IF($C34="DUCTED",VLOOKUP($E34,'DX-Data'!$D$5:$J$11,7,TRUE),IF($C34="DECORATIVE",VLOOKUP($E34,'DX-Data'!$D$19:$J$23,7,TRUE),IF($C34="PACKAGED",VLOOKUP($E34,'DX-Data'!$D$24:$J$30,7,TRUE),IF($C34="DUCTED-INV",VLOOKUP($E34,'DX-Data'!$D$12:$J$18,7,TRUE),"CHOOSE AC TYPE")))))</f>
        <v/>
      </c>
      <c r="AH34" s="68" t="str">
        <f>IF($F$8=TRUE,IF($C34="DUCTED",VLOOKUP($F34,'DX-Data'!$F$5:$J$11,5,TRUE),IF($C34="DECORATIVE",VLOOKUP($F34,'DX-Data'!$F$19:$J$23,5,TRUE),IF($C34="PACKAGED",VLOOKUP($F34,'DX-Data'!$F$24:$J$30,5,TRUE),IF($C34="DUCTED-INV",VLOOKUP($F34,'DX-Data'!$F$12:$J$18,5,TRUE),"CHOOSE AC TYPE")))),"NO SELECTION")</f>
        <v>NO SELECTION</v>
      </c>
      <c r="AI34" s="68" t="str">
        <f>IF($G$8=TRUE,IF($C34="DUCTED",VLOOKUP($G34,'DX-Data'!$H$5:$J$11,3,TRUE),IF($C34="DECORATIVE",VLOOKUP($G34,'DX-Data'!$H$19:$J$23,3,TRUE),IF($C34="PACKAGED",VLOOKUP($G34,'DX-Data'!$H$24:$J$30,3,TRUE),IF($C34="DUCTED-INV",VLOOKUP($G34,'DX-Data'!$H$12:$J$18,3,TRUE),"CHOOSE AC TYPE")))),"NO SELECTION")</f>
        <v>NO SELECTION</v>
      </c>
      <c r="AJ34" s="69" t="str">
        <f>IF($E34="","",IF($C34="DUCTED",VLOOKUP($E34,'DX-Data'!$D$5:$J$11,6,TRUE),IF($C34="DECORATIVE",VLOOKUP($E34,'DX-Data'!$D$19:$J$23,6,TRUE),IF($C34="PACKAGED",VLOOKUP($E34,'DX-Data'!$D$24:$J$30,6,TRUE),IF($C34="DUCTED-INV",VLOOKUP($E34,'DX-Data'!$D$12:$J$18,6,TRUE),0)))))</f>
        <v/>
      </c>
      <c r="AK34" s="69">
        <f>IF($F$8=TRUE,IF($C34="DUCTED",VLOOKUP($F34,'DX-Data'!$F$5:$J$11,4,TRUE),IF($C34="DECORATIVE",VLOOKUP($F34,'DX-Data'!$F$19:$J$23,4,TRUE),IF($C34="PACKAGED",VLOOKUP($F34,'DX-Data'!$F$24:$J$30,4,TRUE),IF($C34="DUCTED-INV",VLOOKUP($F34,'DX-Data'!$F$12:$J$18,4,TRUE),"CHOOSE AC TYPE")))),0)</f>
        <v>0</v>
      </c>
      <c r="AL34" s="69">
        <f>IF($G$8=TRUE,IF($C34="DUCTED",VLOOKUP($G34,'DX-Data'!$H$5:$J$11,2,TRUE),IF($C34="DECORATIVE",VLOOKUP($G34,'DX-Data'!$H$19:$J$23,2,TRUE),IF($C34="PACKAGED",VLOOKUP($G34,'DX-Data'!$H$24:$J$30,2,TRUE),IF($C34="DUCTED-INV",VLOOKUP($G34,'DX-Data'!$H$12:$J$18,2,TRUE),"CHOOSE AC TYPE")))),0)</f>
        <v>0</v>
      </c>
      <c r="AM34" s="69">
        <f t="shared" si="2"/>
        <v>0</v>
      </c>
      <c r="AN34" s="68" t="str">
        <f>IF(E34="","",VLOOKUP($AM34,'DX-Data'!$I$5:$J$31,2,FALSE))</f>
        <v/>
      </c>
      <c r="AO34" s="69" t="str">
        <f t="shared" si="3"/>
        <v/>
      </c>
    </row>
    <row r="35" spans="2:41" x14ac:dyDescent="0.3">
      <c r="B35" s="64"/>
      <c r="C35" s="24"/>
      <c r="D35" s="25"/>
      <c r="E35" s="24"/>
      <c r="F35" s="24"/>
      <c r="G35" s="74"/>
      <c r="H35" s="66" t="str">
        <f t="shared" si="0"/>
        <v/>
      </c>
      <c r="I35" s="2" t="str">
        <f t="shared" si="1"/>
        <v/>
      </c>
      <c r="J35" s="21" t="str">
        <f>IF($H35="","",VLOOKUP($H35,Data!$C$6:$Y$29,2,FALSE))</f>
        <v/>
      </c>
      <c r="K35" s="2" t="str">
        <f>IF($H35="","",VLOOKUP($H35,Data!$C$6:$Y$29,3,FALSE))</f>
        <v/>
      </c>
      <c r="L35" s="2" t="str">
        <f>IF($H35="","",VLOOKUP($H35,Data!$C$6:$Y$29,4,FALSE))</f>
        <v/>
      </c>
      <c r="M35" s="2" t="str">
        <f>IF($H35="","",VLOOKUP($H35,Data!$C$6:$Y$29,5,FALSE))</f>
        <v/>
      </c>
      <c r="N35" s="2" t="str">
        <f>IF($H35="","",VLOOKUP($H35,Data!$C$6:$Y$29,6,FALSE))</f>
        <v/>
      </c>
      <c r="O35" s="2" t="str">
        <f>IF($H35="","",VLOOKUP($H35,Data!$C$6:$Y$29,7,FALSE))</f>
        <v/>
      </c>
      <c r="P35" s="2" t="str">
        <f>IF($H35="","",VLOOKUP($H35,Data!$C$6:$Y$29,8,FALSE))</f>
        <v/>
      </c>
      <c r="Q35" s="2" t="str">
        <f>IF($H35="","",VLOOKUP($H35,Data!$C$6:$Y$29,9,FALSE))</f>
        <v/>
      </c>
      <c r="R35" s="2" t="str">
        <f>IF($H35="","",VLOOKUP($H35,Data!$C$6:$Y$29,10,FALSE))</f>
        <v/>
      </c>
      <c r="S35" s="2" t="str">
        <f>IF($H35="","",VLOOKUP($H35,Data!$C$6:$Y$29,11,FALSE))</f>
        <v/>
      </c>
      <c r="T35" s="2" t="str">
        <f>IF($H35="","",VLOOKUP($H35,Data!$C$6:$Y$29,12,FALSE))</f>
        <v/>
      </c>
      <c r="U35" s="2" t="str">
        <f>IF($H35="","",VLOOKUP($H35,Data!$C$6:$Y$29,13,FALSE))</f>
        <v/>
      </c>
      <c r="V35" s="2" t="str">
        <f>IF($H35="","",VLOOKUP($H35,Data!$C$6:$Y$29,14,FALSE))</f>
        <v/>
      </c>
      <c r="W35" s="2" t="str">
        <f>IF($H35="","",VLOOKUP($H35,Data!$C$6:$Y$29,15,FALSE))</f>
        <v/>
      </c>
      <c r="X35" s="2" t="str">
        <f>IF($H35="","",VLOOKUP($H35,Data!$C$6:$Y$29,16,FALSE))</f>
        <v/>
      </c>
      <c r="Y35" s="2" t="str">
        <f>IF($H35="","",VLOOKUP($H35,Data!$C$6:$Y$29,17,FALSE))</f>
        <v/>
      </c>
      <c r="Z35" s="2" t="str">
        <f>IF($H35="","",VLOOKUP($H35,Data!$C$6:$Y$29,18,FALSE))</f>
        <v/>
      </c>
      <c r="AA35" s="2" t="str">
        <f>IF($H35="","",VLOOKUP($H35,Data!$C$6:$Y$29,19,FALSE))</f>
        <v/>
      </c>
      <c r="AB35" s="2" t="str">
        <f>IF($H35="","",VLOOKUP($H35,Data!$C$6:$Y$29,20,FALSE))</f>
        <v/>
      </c>
      <c r="AC35" s="2" t="str">
        <f>IF($H35="","",VLOOKUP($H35,Data!$C$6:$Y$29,21,FALSE))</f>
        <v/>
      </c>
      <c r="AD35" s="2" t="str">
        <f>IF($H35="","",VLOOKUP($H35,Data!$C$6:$Y$29,22,FALSE))</f>
        <v/>
      </c>
      <c r="AE35" s="3" t="str">
        <f>IF($H35="","",VLOOKUP($H35,Data!$C$6:$Y$29,23,FALSE))</f>
        <v/>
      </c>
      <c r="AG35" s="68" t="str">
        <f>IF($E35="","",IF($C35="DUCTED",VLOOKUP($E35,'DX-Data'!$D$5:$J$11,7,TRUE),IF($C35="DECORATIVE",VLOOKUP($E35,'DX-Data'!$D$19:$J$23,7,TRUE),IF($C35="PACKAGED",VLOOKUP($E35,'DX-Data'!$D$24:$J$30,7,TRUE),IF($C35="DUCTED-INV",VLOOKUP($E35,'DX-Data'!$D$12:$J$18,7,TRUE),"CHOOSE AC TYPE")))))</f>
        <v/>
      </c>
      <c r="AH35" s="68" t="str">
        <f>IF($F$8=TRUE,IF($C35="DUCTED",VLOOKUP($F35,'DX-Data'!$F$5:$J$11,5,TRUE),IF($C35="DECORATIVE",VLOOKUP($F35,'DX-Data'!$F$19:$J$23,5,TRUE),IF($C35="PACKAGED",VLOOKUP($F35,'DX-Data'!$F$24:$J$30,5,TRUE),IF($C35="DUCTED-INV",VLOOKUP($F35,'DX-Data'!$F$12:$J$18,5,TRUE),"CHOOSE AC TYPE")))),"NO SELECTION")</f>
        <v>NO SELECTION</v>
      </c>
      <c r="AI35" s="68" t="str">
        <f>IF($G$8=TRUE,IF($C35="DUCTED",VLOOKUP($G35,'DX-Data'!$H$5:$J$11,3,TRUE),IF($C35="DECORATIVE",VLOOKUP($G35,'DX-Data'!$H$19:$J$23,3,TRUE),IF($C35="PACKAGED",VLOOKUP($G35,'DX-Data'!$H$24:$J$30,3,TRUE),IF($C35="DUCTED-INV",VLOOKUP($G35,'DX-Data'!$H$12:$J$18,3,TRUE),"CHOOSE AC TYPE")))),"NO SELECTION")</f>
        <v>NO SELECTION</v>
      </c>
      <c r="AJ35" s="69" t="str">
        <f>IF($E35="","",IF($C35="DUCTED",VLOOKUP($E35,'DX-Data'!$D$5:$J$11,6,TRUE),IF($C35="DECORATIVE",VLOOKUP($E35,'DX-Data'!$D$19:$J$23,6,TRUE),IF($C35="PACKAGED",VLOOKUP($E35,'DX-Data'!$D$24:$J$30,6,TRUE),IF($C35="DUCTED-INV",VLOOKUP($E35,'DX-Data'!$D$12:$J$18,6,TRUE),0)))))</f>
        <v/>
      </c>
      <c r="AK35" s="69">
        <f>IF($F$8=TRUE,IF($C35="DUCTED",VLOOKUP($F35,'DX-Data'!$F$5:$J$11,4,TRUE),IF($C35="DECORATIVE",VLOOKUP($F35,'DX-Data'!$F$19:$J$23,4,TRUE),IF($C35="PACKAGED",VLOOKUP($F35,'DX-Data'!$F$24:$J$30,4,TRUE),IF($C35="DUCTED-INV",VLOOKUP($F35,'DX-Data'!$F$12:$J$18,4,TRUE),"CHOOSE AC TYPE")))),0)</f>
        <v>0</v>
      </c>
      <c r="AL35" s="69">
        <f>IF($G$8=TRUE,IF($C35="DUCTED",VLOOKUP($G35,'DX-Data'!$H$5:$J$11,2,TRUE),IF($C35="DECORATIVE",VLOOKUP($G35,'DX-Data'!$H$19:$J$23,2,TRUE),IF($C35="PACKAGED",VLOOKUP($G35,'DX-Data'!$H$24:$J$30,2,TRUE),IF($C35="DUCTED-INV",VLOOKUP($G35,'DX-Data'!$H$12:$J$18,2,TRUE),"CHOOSE AC TYPE")))),0)</f>
        <v>0</v>
      </c>
      <c r="AM35" s="69">
        <f t="shared" si="2"/>
        <v>0</v>
      </c>
      <c r="AN35" s="68" t="str">
        <f>IF(E35="","",VLOOKUP($AM35,'DX-Data'!$I$5:$J$31,2,FALSE))</f>
        <v/>
      </c>
      <c r="AO35" s="69" t="str">
        <f t="shared" si="3"/>
        <v/>
      </c>
    </row>
    <row r="36" spans="2:41" x14ac:dyDescent="0.3">
      <c r="B36" s="64"/>
      <c r="C36" s="24"/>
      <c r="D36" s="25"/>
      <c r="E36" s="24"/>
      <c r="F36" s="24"/>
      <c r="G36" s="74"/>
      <c r="H36" s="66" t="str">
        <f t="shared" si="0"/>
        <v/>
      </c>
      <c r="I36" s="2" t="str">
        <f t="shared" si="1"/>
        <v/>
      </c>
      <c r="J36" s="21" t="str">
        <f>IF($H36="","",VLOOKUP($H36,Data!$C$6:$Y$29,2,FALSE))</f>
        <v/>
      </c>
      <c r="K36" s="2" t="str">
        <f>IF($H36="","",VLOOKUP($H36,Data!$C$6:$Y$29,3,FALSE))</f>
        <v/>
      </c>
      <c r="L36" s="2" t="str">
        <f>IF($H36="","",VLOOKUP($H36,Data!$C$6:$Y$29,4,FALSE))</f>
        <v/>
      </c>
      <c r="M36" s="2" t="str">
        <f>IF($H36="","",VLOOKUP($H36,Data!$C$6:$Y$29,5,FALSE))</f>
        <v/>
      </c>
      <c r="N36" s="2" t="str">
        <f>IF($H36="","",VLOOKUP($H36,Data!$C$6:$Y$29,6,FALSE))</f>
        <v/>
      </c>
      <c r="O36" s="2" t="str">
        <f>IF($H36="","",VLOOKUP($H36,Data!$C$6:$Y$29,7,FALSE))</f>
        <v/>
      </c>
      <c r="P36" s="2" t="str">
        <f>IF($H36="","",VLOOKUP($H36,Data!$C$6:$Y$29,8,FALSE))</f>
        <v/>
      </c>
      <c r="Q36" s="2" t="str">
        <f>IF($H36="","",VLOOKUP($H36,Data!$C$6:$Y$29,9,FALSE))</f>
        <v/>
      </c>
      <c r="R36" s="2" t="str">
        <f>IF($H36="","",VLOOKUP($H36,Data!$C$6:$Y$29,10,FALSE))</f>
        <v/>
      </c>
      <c r="S36" s="2" t="str">
        <f>IF($H36="","",VLOOKUP($H36,Data!$C$6:$Y$29,11,FALSE))</f>
        <v/>
      </c>
      <c r="T36" s="2" t="str">
        <f>IF($H36="","",VLOOKUP($H36,Data!$C$6:$Y$29,12,FALSE))</f>
        <v/>
      </c>
      <c r="U36" s="2" t="str">
        <f>IF($H36="","",VLOOKUP($H36,Data!$C$6:$Y$29,13,FALSE))</f>
        <v/>
      </c>
      <c r="V36" s="2" t="str">
        <f>IF($H36="","",VLOOKUP($H36,Data!$C$6:$Y$29,14,FALSE))</f>
        <v/>
      </c>
      <c r="W36" s="2" t="str">
        <f>IF($H36="","",VLOOKUP($H36,Data!$C$6:$Y$29,15,FALSE))</f>
        <v/>
      </c>
      <c r="X36" s="2" t="str">
        <f>IF($H36="","",VLOOKUP($H36,Data!$C$6:$Y$29,16,FALSE))</f>
        <v/>
      </c>
      <c r="Y36" s="2" t="str">
        <f>IF($H36="","",VLOOKUP($H36,Data!$C$6:$Y$29,17,FALSE))</f>
        <v/>
      </c>
      <c r="Z36" s="2" t="str">
        <f>IF($H36="","",VLOOKUP($H36,Data!$C$6:$Y$29,18,FALSE))</f>
        <v/>
      </c>
      <c r="AA36" s="2" t="str">
        <f>IF($H36="","",VLOOKUP($H36,Data!$C$6:$Y$29,19,FALSE))</f>
        <v/>
      </c>
      <c r="AB36" s="2" t="str">
        <f>IF($H36="","",VLOOKUP($H36,Data!$C$6:$Y$29,20,FALSE))</f>
        <v/>
      </c>
      <c r="AC36" s="2" t="str">
        <f>IF($H36="","",VLOOKUP($H36,Data!$C$6:$Y$29,21,FALSE))</f>
        <v/>
      </c>
      <c r="AD36" s="2" t="str">
        <f>IF($H36="","",VLOOKUP($H36,Data!$C$6:$Y$29,22,FALSE))</f>
        <v/>
      </c>
      <c r="AE36" s="3" t="str">
        <f>IF($H36="","",VLOOKUP($H36,Data!$C$6:$Y$29,23,FALSE))</f>
        <v/>
      </c>
      <c r="AG36" s="68" t="str">
        <f>IF($E36="","",IF($C36="DUCTED",VLOOKUP($E36,'DX-Data'!$D$5:$J$11,7,TRUE),IF($C36="DECORATIVE",VLOOKUP($E36,'DX-Data'!$D$19:$J$23,7,TRUE),IF($C36="PACKAGED",VLOOKUP($E36,'DX-Data'!$D$24:$J$30,7,TRUE),IF($C36="DUCTED-INV",VLOOKUP($E36,'DX-Data'!$D$12:$J$18,7,TRUE),"CHOOSE AC TYPE")))))</f>
        <v/>
      </c>
      <c r="AH36" s="68" t="str">
        <f>IF($F$8=TRUE,IF($C36="DUCTED",VLOOKUP($F36,'DX-Data'!$F$5:$J$11,5,TRUE),IF($C36="DECORATIVE",VLOOKUP($F36,'DX-Data'!$F$19:$J$23,5,TRUE),IF($C36="PACKAGED",VLOOKUP($F36,'DX-Data'!$F$24:$J$30,5,TRUE),IF($C36="DUCTED-INV",VLOOKUP($F36,'DX-Data'!$F$12:$J$18,5,TRUE),"CHOOSE AC TYPE")))),"NO SELECTION")</f>
        <v>NO SELECTION</v>
      </c>
      <c r="AI36" s="68" t="str">
        <f>IF($G$8=TRUE,IF($C36="DUCTED",VLOOKUP($G36,'DX-Data'!$H$5:$J$11,3,TRUE),IF($C36="DECORATIVE",VLOOKUP($G36,'DX-Data'!$H$19:$J$23,3,TRUE),IF($C36="PACKAGED",VLOOKUP($G36,'DX-Data'!$H$24:$J$30,3,TRUE),IF($C36="DUCTED-INV",VLOOKUP($G36,'DX-Data'!$H$12:$J$18,3,TRUE),"CHOOSE AC TYPE")))),"NO SELECTION")</f>
        <v>NO SELECTION</v>
      </c>
      <c r="AJ36" s="69" t="str">
        <f>IF($E36="","",IF($C36="DUCTED",VLOOKUP($E36,'DX-Data'!$D$5:$J$11,6,TRUE),IF($C36="DECORATIVE",VLOOKUP($E36,'DX-Data'!$D$19:$J$23,6,TRUE),IF($C36="PACKAGED",VLOOKUP($E36,'DX-Data'!$D$24:$J$30,6,TRUE),IF($C36="DUCTED-INV",VLOOKUP($E36,'DX-Data'!$D$12:$J$18,6,TRUE),0)))))</f>
        <v/>
      </c>
      <c r="AK36" s="69">
        <f>IF($F$8=TRUE,IF($C36="DUCTED",VLOOKUP($F36,'DX-Data'!$F$5:$J$11,4,TRUE),IF($C36="DECORATIVE",VLOOKUP($F36,'DX-Data'!$F$19:$J$23,4,TRUE),IF($C36="PACKAGED",VLOOKUP($F36,'DX-Data'!$F$24:$J$30,4,TRUE),IF($C36="DUCTED-INV",VLOOKUP($F36,'DX-Data'!$F$12:$J$18,4,TRUE),"CHOOSE AC TYPE")))),0)</f>
        <v>0</v>
      </c>
      <c r="AL36" s="69">
        <f>IF($G$8=TRUE,IF($C36="DUCTED",VLOOKUP($G36,'DX-Data'!$H$5:$J$11,2,TRUE),IF($C36="DECORATIVE",VLOOKUP($G36,'DX-Data'!$H$19:$J$23,2,TRUE),IF($C36="PACKAGED",VLOOKUP($G36,'DX-Data'!$H$24:$J$30,2,TRUE),IF($C36="DUCTED-INV",VLOOKUP($G36,'DX-Data'!$H$12:$J$18,2,TRUE),"CHOOSE AC TYPE")))),0)</f>
        <v>0</v>
      </c>
      <c r="AM36" s="69">
        <f t="shared" si="2"/>
        <v>0</v>
      </c>
      <c r="AN36" s="68" t="str">
        <f>IF(E36="","",VLOOKUP($AM36,'DX-Data'!$I$5:$J$31,2,FALSE))</f>
        <v/>
      </c>
      <c r="AO36" s="69" t="str">
        <f t="shared" si="3"/>
        <v/>
      </c>
    </row>
    <row r="37" spans="2:41" x14ac:dyDescent="0.3">
      <c r="B37" s="64"/>
      <c r="C37" s="24"/>
      <c r="D37" s="25"/>
      <c r="E37" s="24"/>
      <c r="F37" s="24"/>
      <c r="G37" s="74"/>
      <c r="H37" s="66" t="str">
        <f t="shared" si="0"/>
        <v/>
      </c>
      <c r="I37" s="2" t="str">
        <f t="shared" si="1"/>
        <v/>
      </c>
      <c r="J37" s="21" t="str">
        <f>IF($H37="","",VLOOKUP($H37,Data!$C$6:$Y$29,2,FALSE))</f>
        <v/>
      </c>
      <c r="K37" s="2" t="str">
        <f>IF($H37="","",VLOOKUP($H37,Data!$C$6:$Y$29,3,FALSE))</f>
        <v/>
      </c>
      <c r="L37" s="2" t="str">
        <f>IF($H37="","",VLOOKUP($H37,Data!$C$6:$Y$29,4,FALSE))</f>
        <v/>
      </c>
      <c r="M37" s="2" t="str">
        <f>IF($H37="","",VLOOKUP($H37,Data!$C$6:$Y$29,5,FALSE))</f>
        <v/>
      </c>
      <c r="N37" s="2" t="str">
        <f>IF($H37="","",VLOOKUP($H37,Data!$C$6:$Y$29,6,FALSE))</f>
        <v/>
      </c>
      <c r="O37" s="2" t="str">
        <f>IF($H37="","",VLOOKUP($H37,Data!$C$6:$Y$29,7,FALSE))</f>
        <v/>
      </c>
      <c r="P37" s="2" t="str">
        <f>IF($H37="","",VLOOKUP($H37,Data!$C$6:$Y$29,8,FALSE))</f>
        <v/>
      </c>
      <c r="Q37" s="2" t="str">
        <f>IF($H37="","",VLOOKUP($H37,Data!$C$6:$Y$29,9,FALSE))</f>
        <v/>
      </c>
      <c r="R37" s="2" t="str">
        <f>IF($H37="","",VLOOKUP($H37,Data!$C$6:$Y$29,10,FALSE))</f>
        <v/>
      </c>
      <c r="S37" s="2" t="str">
        <f>IF($H37="","",VLOOKUP($H37,Data!$C$6:$Y$29,11,FALSE))</f>
        <v/>
      </c>
      <c r="T37" s="2" t="str">
        <f>IF($H37="","",VLOOKUP($H37,Data!$C$6:$Y$29,12,FALSE))</f>
        <v/>
      </c>
      <c r="U37" s="2" t="str">
        <f>IF($H37="","",VLOOKUP($H37,Data!$C$6:$Y$29,13,FALSE))</f>
        <v/>
      </c>
      <c r="V37" s="2" t="str">
        <f>IF($H37="","",VLOOKUP($H37,Data!$C$6:$Y$29,14,FALSE))</f>
        <v/>
      </c>
      <c r="W37" s="2" t="str">
        <f>IF($H37="","",VLOOKUP($H37,Data!$C$6:$Y$29,15,FALSE))</f>
        <v/>
      </c>
      <c r="X37" s="2" t="str">
        <f>IF($H37="","",VLOOKUP($H37,Data!$C$6:$Y$29,16,FALSE))</f>
        <v/>
      </c>
      <c r="Y37" s="2" t="str">
        <f>IF($H37="","",VLOOKUP($H37,Data!$C$6:$Y$29,17,FALSE))</f>
        <v/>
      </c>
      <c r="Z37" s="2" t="str">
        <f>IF($H37="","",VLOOKUP($H37,Data!$C$6:$Y$29,18,FALSE))</f>
        <v/>
      </c>
      <c r="AA37" s="2" t="str">
        <f>IF($H37="","",VLOOKUP($H37,Data!$C$6:$Y$29,19,FALSE))</f>
        <v/>
      </c>
      <c r="AB37" s="2" t="str">
        <f>IF($H37="","",VLOOKUP($H37,Data!$C$6:$Y$29,20,FALSE))</f>
        <v/>
      </c>
      <c r="AC37" s="2" t="str">
        <f>IF($H37="","",VLOOKUP($H37,Data!$C$6:$Y$29,21,FALSE))</f>
        <v/>
      </c>
      <c r="AD37" s="2" t="str">
        <f>IF($H37="","",VLOOKUP($H37,Data!$C$6:$Y$29,22,FALSE))</f>
        <v/>
      </c>
      <c r="AE37" s="3" t="str">
        <f>IF($H37="","",VLOOKUP($H37,Data!$C$6:$Y$29,23,FALSE))</f>
        <v/>
      </c>
      <c r="AG37" s="68" t="str">
        <f>IF($E37="","",IF($C37="DUCTED",VLOOKUP($E37,'DX-Data'!$D$5:$J$11,7,TRUE),IF($C37="DECORATIVE",VLOOKUP($E37,'DX-Data'!$D$19:$J$23,7,TRUE),IF($C37="PACKAGED",VLOOKUP($E37,'DX-Data'!$D$24:$J$30,7,TRUE),IF($C37="DUCTED-INV",VLOOKUP($E37,'DX-Data'!$D$12:$J$18,7,TRUE),"CHOOSE AC TYPE")))))</f>
        <v/>
      </c>
      <c r="AH37" s="68" t="str">
        <f>IF($F$8=TRUE,IF($C37="DUCTED",VLOOKUP($F37,'DX-Data'!$F$5:$J$11,5,TRUE),IF($C37="DECORATIVE",VLOOKUP($F37,'DX-Data'!$F$19:$J$23,5,TRUE),IF($C37="PACKAGED",VLOOKUP($F37,'DX-Data'!$F$24:$J$30,5,TRUE),IF($C37="DUCTED-INV",VLOOKUP($F37,'DX-Data'!$F$12:$J$18,5,TRUE),"CHOOSE AC TYPE")))),"NO SELECTION")</f>
        <v>NO SELECTION</v>
      </c>
      <c r="AI37" s="68" t="str">
        <f>IF($G$8=TRUE,IF($C37="DUCTED",VLOOKUP($G37,'DX-Data'!$H$5:$J$11,3,TRUE),IF($C37="DECORATIVE",VLOOKUP($G37,'DX-Data'!$H$19:$J$23,3,TRUE),IF($C37="PACKAGED",VLOOKUP($G37,'DX-Data'!$H$24:$J$30,3,TRUE),IF($C37="DUCTED-INV",VLOOKUP($G37,'DX-Data'!$H$12:$J$18,3,TRUE),"CHOOSE AC TYPE")))),"NO SELECTION")</f>
        <v>NO SELECTION</v>
      </c>
      <c r="AJ37" s="69" t="str">
        <f>IF($E37="","",IF($C37="DUCTED",VLOOKUP($E37,'DX-Data'!$D$5:$J$11,6,TRUE),IF($C37="DECORATIVE",VLOOKUP($E37,'DX-Data'!$D$19:$J$23,6,TRUE),IF($C37="PACKAGED",VLOOKUP($E37,'DX-Data'!$D$24:$J$30,6,TRUE),IF($C37="DUCTED-INV",VLOOKUP($E37,'DX-Data'!$D$12:$J$18,6,TRUE),0)))))</f>
        <v/>
      </c>
      <c r="AK37" s="69">
        <f>IF($F$8=TRUE,IF($C37="DUCTED",VLOOKUP($F37,'DX-Data'!$F$5:$J$11,4,TRUE),IF($C37="DECORATIVE",VLOOKUP($F37,'DX-Data'!$F$19:$J$23,4,TRUE),IF($C37="PACKAGED",VLOOKUP($F37,'DX-Data'!$F$24:$J$30,4,TRUE),IF($C37="DUCTED-INV",VLOOKUP($F37,'DX-Data'!$F$12:$J$18,4,TRUE),"CHOOSE AC TYPE")))),0)</f>
        <v>0</v>
      </c>
      <c r="AL37" s="69">
        <f>IF($G$8=TRUE,IF($C37="DUCTED",VLOOKUP($G37,'DX-Data'!$H$5:$J$11,2,TRUE),IF($C37="DECORATIVE",VLOOKUP($G37,'DX-Data'!$H$19:$J$23,2,TRUE),IF($C37="PACKAGED",VLOOKUP($G37,'DX-Data'!$H$24:$J$30,2,TRUE),IF($C37="DUCTED-INV",VLOOKUP($G37,'DX-Data'!$H$12:$J$18,2,TRUE),"CHOOSE AC TYPE")))),0)</f>
        <v>0</v>
      </c>
      <c r="AM37" s="69">
        <f t="shared" si="2"/>
        <v>0</v>
      </c>
      <c r="AN37" s="68" t="str">
        <f>IF(E37="","",VLOOKUP($AM37,'DX-Data'!$I$5:$J$31,2,FALSE))</f>
        <v/>
      </c>
      <c r="AO37" s="69" t="str">
        <f t="shared" si="3"/>
        <v/>
      </c>
    </row>
    <row r="38" spans="2:41" x14ac:dyDescent="0.3">
      <c r="B38" s="64"/>
      <c r="C38" s="24"/>
      <c r="D38" s="25"/>
      <c r="E38" s="24"/>
      <c r="F38" s="24"/>
      <c r="G38" s="74"/>
      <c r="H38" s="66" t="str">
        <f t="shared" si="0"/>
        <v/>
      </c>
      <c r="I38" s="2" t="str">
        <f t="shared" si="1"/>
        <v/>
      </c>
      <c r="J38" s="21" t="str">
        <f>IF($H38="","",VLOOKUP($H38,Data!$C$6:$Y$29,2,FALSE))</f>
        <v/>
      </c>
      <c r="K38" s="2" t="str">
        <f>IF($H38="","",VLOOKUP($H38,Data!$C$6:$Y$29,3,FALSE))</f>
        <v/>
      </c>
      <c r="L38" s="2" t="str">
        <f>IF($H38="","",VLOOKUP($H38,Data!$C$6:$Y$29,4,FALSE))</f>
        <v/>
      </c>
      <c r="M38" s="2" t="str">
        <f>IF($H38="","",VLOOKUP($H38,Data!$C$6:$Y$29,5,FALSE))</f>
        <v/>
      </c>
      <c r="N38" s="2" t="str">
        <f>IF($H38="","",VLOOKUP($H38,Data!$C$6:$Y$29,6,FALSE))</f>
        <v/>
      </c>
      <c r="O38" s="2" t="str">
        <f>IF($H38="","",VLOOKUP($H38,Data!$C$6:$Y$29,7,FALSE))</f>
        <v/>
      </c>
      <c r="P38" s="2" t="str">
        <f>IF($H38="","",VLOOKUP($H38,Data!$C$6:$Y$29,8,FALSE))</f>
        <v/>
      </c>
      <c r="Q38" s="2" t="str">
        <f>IF($H38="","",VLOOKUP($H38,Data!$C$6:$Y$29,9,FALSE))</f>
        <v/>
      </c>
      <c r="R38" s="2" t="str">
        <f>IF($H38="","",VLOOKUP($H38,Data!$C$6:$Y$29,10,FALSE))</f>
        <v/>
      </c>
      <c r="S38" s="2" t="str">
        <f>IF($H38="","",VLOOKUP($H38,Data!$C$6:$Y$29,11,FALSE))</f>
        <v/>
      </c>
      <c r="T38" s="2" t="str">
        <f>IF($H38="","",VLOOKUP($H38,Data!$C$6:$Y$29,12,FALSE))</f>
        <v/>
      </c>
      <c r="U38" s="2" t="str">
        <f>IF($H38="","",VLOOKUP($H38,Data!$C$6:$Y$29,13,FALSE))</f>
        <v/>
      </c>
      <c r="V38" s="2" t="str">
        <f>IF($H38="","",VLOOKUP($H38,Data!$C$6:$Y$29,14,FALSE))</f>
        <v/>
      </c>
      <c r="W38" s="2" t="str">
        <f>IF($H38="","",VLOOKUP($H38,Data!$C$6:$Y$29,15,FALSE))</f>
        <v/>
      </c>
      <c r="X38" s="2" t="str">
        <f>IF($H38="","",VLOOKUP($H38,Data!$C$6:$Y$29,16,FALSE))</f>
        <v/>
      </c>
      <c r="Y38" s="2" t="str">
        <f>IF($H38="","",VLOOKUP($H38,Data!$C$6:$Y$29,17,FALSE))</f>
        <v/>
      </c>
      <c r="Z38" s="2" t="str">
        <f>IF($H38="","",VLOOKUP($H38,Data!$C$6:$Y$29,18,FALSE))</f>
        <v/>
      </c>
      <c r="AA38" s="2" t="str">
        <f>IF($H38="","",VLOOKUP($H38,Data!$C$6:$Y$29,19,FALSE))</f>
        <v/>
      </c>
      <c r="AB38" s="2" t="str">
        <f>IF($H38="","",VLOOKUP($H38,Data!$C$6:$Y$29,20,FALSE))</f>
        <v/>
      </c>
      <c r="AC38" s="2" t="str">
        <f>IF($H38="","",VLOOKUP($H38,Data!$C$6:$Y$29,21,FALSE))</f>
        <v/>
      </c>
      <c r="AD38" s="2" t="str">
        <f>IF($H38="","",VLOOKUP($H38,Data!$C$6:$Y$29,22,FALSE))</f>
        <v/>
      </c>
      <c r="AE38" s="3" t="str">
        <f>IF($H38="","",VLOOKUP($H38,Data!$C$6:$Y$29,23,FALSE))</f>
        <v/>
      </c>
      <c r="AG38" s="68" t="str">
        <f>IF($E38="","",IF($C38="DUCTED",VLOOKUP($E38,'DX-Data'!$D$5:$J$11,7,TRUE),IF($C38="DECORATIVE",VLOOKUP($E38,'DX-Data'!$D$19:$J$23,7,TRUE),IF($C38="PACKAGED",VLOOKUP($E38,'DX-Data'!$D$24:$J$30,7,TRUE),IF($C38="DUCTED-INV",VLOOKUP($E38,'DX-Data'!$D$12:$J$18,7,TRUE),"CHOOSE AC TYPE")))))</f>
        <v/>
      </c>
      <c r="AH38" s="68" t="str">
        <f>IF($F$8=TRUE,IF($C38="DUCTED",VLOOKUP($F38,'DX-Data'!$F$5:$J$11,5,TRUE),IF($C38="DECORATIVE",VLOOKUP($F38,'DX-Data'!$F$19:$J$23,5,TRUE),IF($C38="PACKAGED",VLOOKUP($F38,'DX-Data'!$F$24:$J$30,5,TRUE),IF($C38="DUCTED-INV",VLOOKUP($F38,'DX-Data'!$F$12:$J$18,5,TRUE),"CHOOSE AC TYPE")))),"NO SELECTION")</f>
        <v>NO SELECTION</v>
      </c>
      <c r="AI38" s="68" t="str">
        <f>IF($G$8=TRUE,IF($C38="DUCTED",VLOOKUP($G38,'DX-Data'!$H$5:$J$11,3,TRUE),IF($C38="DECORATIVE",VLOOKUP($G38,'DX-Data'!$H$19:$J$23,3,TRUE),IF($C38="PACKAGED",VLOOKUP($G38,'DX-Data'!$H$24:$J$30,3,TRUE),IF($C38="DUCTED-INV",VLOOKUP($G38,'DX-Data'!$H$12:$J$18,3,TRUE),"CHOOSE AC TYPE")))),"NO SELECTION")</f>
        <v>NO SELECTION</v>
      </c>
      <c r="AJ38" s="69" t="str">
        <f>IF($E38="","",IF($C38="DUCTED",VLOOKUP($E38,'DX-Data'!$D$5:$J$11,6,TRUE),IF($C38="DECORATIVE",VLOOKUP($E38,'DX-Data'!$D$19:$J$23,6,TRUE),IF($C38="PACKAGED",VLOOKUP($E38,'DX-Data'!$D$24:$J$30,6,TRUE),IF($C38="DUCTED-INV",VLOOKUP($E38,'DX-Data'!$D$12:$J$18,6,TRUE),0)))))</f>
        <v/>
      </c>
      <c r="AK38" s="69">
        <f>IF($F$8=TRUE,IF($C38="DUCTED",VLOOKUP($F38,'DX-Data'!$F$5:$J$11,4,TRUE),IF($C38="DECORATIVE",VLOOKUP($F38,'DX-Data'!$F$19:$J$23,4,TRUE),IF($C38="PACKAGED",VLOOKUP($F38,'DX-Data'!$F$24:$J$30,4,TRUE),IF($C38="DUCTED-INV",VLOOKUP($F38,'DX-Data'!$F$12:$J$18,4,TRUE),"CHOOSE AC TYPE")))),0)</f>
        <v>0</v>
      </c>
      <c r="AL38" s="69">
        <f>IF($G$8=TRUE,IF($C38="DUCTED",VLOOKUP($G38,'DX-Data'!$H$5:$J$11,2,TRUE),IF($C38="DECORATIVE",VLOOKUP($G38,'DX-Data'!$H$19:$J$23,2,TRUE),IF($C38="PACKAGED",VLOOKUP($G38,'DX-Data'!$H$24:$J$30,2,TRUE),IF($C38="DUCTED-INV",VLOOKUP($G38,'DX-Data'!$H$12:$J$18,2,TRUE),"CHOOSE AC TYPE")))),0)</f>
        <v>0</v>
      </c>
      <c r="AM38" s="69">
        <f t="shared" si="2"/>
        <v>0</v>
      </c>
      <c r="AN38" s="68" t="str">
        <f>IF(E38="","",VLOOKUP($AM38,'DX-Data'!$I$5:$J$31,2,FALSE))</f>
        <v/>
      </c>
      <c r="AO38" s="69" t="str">
        <f t="shared" si="3"/>
        <v/>
      </c>
    </row>
    <row r="39" spans="2:41" x14ac:dyDescent="0.3">
      <c r="B39" s="64"/>
      <c r="C39" s="24"/>
      <c r="D39" s="25"/>
      <c r="E39" s="24"/>
      <c r="F39" s="24"/>
      <c r="G39" s="74"/>
      <c r="H39" s="66" t="str">
        <f t="shared" si="0"/>
        <v/>
      </c>
      <c r="I39" s="2" t="str">
        <f t="shared" si="1"/>
        <v/>
      </c>
      <c r="J39" s="21" t="str">
        <f>IF($H39="","",VLOOKUP($H39,Data!$C$6:$Y$29,2,FALSE))</f>
        <v/>
      </c>
      <c r="K39" s="2" t="str">
        <f>IF($H39="","",VLOOKUP($H39,Data!$C$6:$Y$29,3,FALSE))</f>
        <v/>
      </c>
      <c r="L39" s="2" t="str">
        <f>IF($H39="","",VLOOKUP($H39,Data!$C$6:$Y$29,4,FALSE))</f>
        <v/>
      </c>
      <c r="M39" s="2" t="str">
        <f>IF($H39="","",VLOOKUP($H39,Data!$C$6:$Y$29,5,FALSE))</f>
        <v/>
      </c>
      <c r="N39" s="2" t="str">
        <f>IF($H39="","",VLOOKUP($H39,Data!$C$6:$Y$29,6,FALSE))</f>
        <v/>
      </c>
      <c r="O39" s="2" t="str">
        <f>IF($H39="","",VLOOKUP($H39,Data!$C$6:$Y$29,7,FALSE))</f>
        <v/>
      </c>
      <c r="P39" s="2" t="str">
        <f>IF($H39="","",VLOOKUP($H39,Data!$C$6:$Y$29,8,FALSE))</f>
        <v/>
      </c>
      <c r="Q39" s="2" t="str">
        <f>IF($H39="","",VLOOKUP($H39,Data!$C$6:$Y$29,9,FALSE))</f>
        <v/>
      </c>
      <c r="R39" s="2" t="str">
        <f>IF($H39="","",VLOOKUP($H39,Data!$C$6:$Y$29,10,FALSE))</f>
        <v/>
      </c>
      <c r="S39" s="2" t="str">
        <f>IF($H39="","",VLOOKUP($H39,Data!$C$6:$Y$29,11,FALSE))</f>
        <v/>
      </c>
      <c r="T39" s="2" t="str">
        <f>IF($H39="","",VLOOKUP($H39,Data!$C$6:$Y$29,12,FALSE))</f>
        <v/>
      </c>
      <c r="U39" s="2" t="str">
        <f>IF($H39="","",VLOOKUP($H39,Data!$C$6:$Y$29,13,FALSE))</f>
        <v/>
      </c>
      <c r="V39" s="2" t="str">
        <f>IF($H39="","",VLOOKUP($H39,Data!$C$6:$Y$29,14,FALSE))</f>
        <v/>
      </c>
      <c r="W39" s="2" t="str">
        <f>IF($H39="","",VLOOKUP($H39,Data!$C$6:$Y$29,15,FALSE))</f>
        <v/>
      </c>
      <c r="X39" s="2" t="str">
        <f>IF($H39="","",VLOOKUP($H39,Data!$C$6:$Y$29,16,FALSE))</f>
        <v/>
      </c>
      <c r="Y39" s="2" t="str">
        <f>IF($H39="","",VLOOKUP($H39,Data!$C$6:$Y$29,17,FALSE))</f>
        <v/>
      </c>
      <c r="Z39" s="2" t="str">
        <f>IF($H39="","",VLOOKUP($H39,Data!$C$6:$Y$29,18,FALSE))</f>
        <v/>
      </c>
      <c r="AA39" s="2" t="str">
        <f>IF($H39="","",VLOOKUP($H39,Data!$C$6:$Y$29,19,FALSE))</f>
        <v/>
      </c>
      <c r="AB39" s="2" t="str">
        <f>IF($H39="","",VLOOKUP($H39,Data!$C$6:$Y$29,20,FALSE))</f>
        <v/>
      </c>
      <c r="AC39" s="2" t="str">
        <f>IF($H39="","",VLOOKUP($H39,Data!$C$6:$Y$29,21,FALSE))</f>
        <v/>
      </c>
      <c r="AD39" s="2" t="str">
        <f>IF($H39="","",VLOOKUP($H39,Data!$C$6:$Y$29,22,FALSE))</f>
        <v/>
      </c>
      <c r="AE39" s="3" t="str">
        <f>IF($H39="","",VLOOKUP($H39,Data!$C$6:$Y$29,23,FALSE))</f>
        <v/>
      </c>
      <c r="AG39" s="68" t="str">
        <f>IF($E39="","",IF($C39="DUCTED",VLOOKUP($E39,'DX-Data'!$D$5:$J$11,7,TRUE),IF($C39="DECORATIVE",VLOOKUP($E39,'DX-Data'!$D$19:$J$23,7,TRUE),IF($C39="PACKAGED",VLOOKUP($E39,'DX-Data'!$D$24:$J$30,7,TRUE),IF($C39="DUCTED-INV",VLOOKUP($E39,'DX-Data'!$D$12:$J$18,7,TRUE),"CHOOSE AC TYPE")))))</f>
        <v/>
      </c>
      <c r="AH39" s="68" t="str">
        <f>IF($F$8=TRUE,IF($C39="DUCTED",VLOOKUP($F39,'DX-Data'!$F$5:$J$11,5,TRUE),IF($C39="DECORATIVE",VLOOKUP($F39,'DX-Data'!$F$19:$J$23,5,TRUE),IF($C39="PACKAGED",VLOOKUP($F39,'DX-Data'!$F$24:$J$30,5,TRUE),IF($C39="DUCTED-INV",VLOOKUP($F39,'DX-Data'!$F$12:$J$18,5,TRUE),"CHOOSE AC TYPE")))),"NO SELECTION")</f>
        <v>NO SELECTION</v>
      </c>
      <c r="AI39" s="68" t="str">
        <f>IF($G$8=TRUE,IF($C39="DUCTED",VLOOKUP($G39,'DX-Data'!$H$5:$J$11,3,TRUE),IF($C39="DECORATIVE",VLOOKUP($G39,'DX-Data'!$H$19:$J$23,3,TRUE),IF($C39="PACKAGED",VLOOKUP($G39,'DX-Data'!$H$24:$J$30,3,TRUE),IF($C39="DUCTED-INV",VLOOKUP($G39,'DX-Data'!$H$12:$J$18,3,TRUE),"CHOOSE AC TYPE")))),"NO SELECTION")</f>
        <v>NO SELECTION</v>
      </c>
      <c r="AJ39" s="69" t="str">
        <f>IF($E39="","",IF($C39="DUCTED",VLOOKUP($E39,'DX-Data'!$D$5:$J$11,6,TRUE),IF($C39="DECORATIVE",VLOOKUP($E39,'DX-Data'!$D$19:$J$23,6,TRUE),IF($C39="PACKAGED",VLOOKUP($E39,'DX-Data'!$D$24:$J$30,6,TRUE),IF($C39="DUCTED-INV",VLOOKUP($E39,'DX-Data'!$D$12:$J$18,6,TRUE),0)))))</f>
        <v/>
      </c>
      <c r="AK39" s="69">
        <f>IF($F$8=TRUE,IF($C39="DUCTED",VLOOKUP($F39,'DX-Data'!$F$5:$J$11,4,TRUE),IF($C39="DECORATIVE",VLOOKUP($F39,'DX-Data'!$F$19:$J$23,4,TRUE),IF($C39="PACKAGED",VLOOKUP($F39,'DX-Data'!$F$24:$J$30,4,TRUE),IF($C39="DUCTED-INV",VLOOKUP($F39,'DX-Data'!$F$12:$J$18,4,TRUE),"CHOOSE AC TYPE")))),0)</f>
        <v>0</v>
      </c>
      <c r="AL39" s="69">
        <f>IF($G$8=TRUE,IF($C39="DUCTED",VLOOKUP($G39,'DX-Data'!$H$5:$J$11,2,TRUE),IF($C39="DECORATIVE",VLOOKUP($G39,'DX-Data'!$H$19:$J$23,2,TRUE),IF($C39="PACKAGED",VLOOKUP($G39,'DX-Data'!$H$24:$J$30,2,TRUE),IF($C39="DUCTED-INV",VLOOKUP($G39,'DX-Data'!$H$12:$J$18,2,TRUE),"CHOOSE AC TYPE")))),0)</f>
        <v>0</v>
      </c>
      <c r="AM39" s="69">
        <f t="shared" si="2"/>
        <v>0</v>
      </c>
      <c r="AN39" s="68" t="str">
        <f>IF(E39="","",VLOOKUP($AM39,'DX-Data'!$I$5:$J$31,2,FALSE))</f>
        <v/>
      </c>
      <c r="AO39" s="69" t="str">
        <f t="shared" si="3"/>
        <v/>
      </c>
    </row>
    <row r="40" spans="2:41" x14ac:dyDescent="0.3">
      <c r="B40" s="64"/>
      <c r="C40" s="24"/>
      <c r="D40" s="25"/>
      <c r="E40" s="24"/>
      <c r="F40" s="24"/>
      <c r="G40" s="74"/>
      <c r="H40" s="66" t="str">
        <f t="shared" si="0"/>
        <v/>
      </c>
      <c r="I40" s="2" t="str">
        <f t="shared" si="1"/>
        <v/>
      </c>
      <c r="J40" s="21" t="str">
        <f>IF($H40="","",VLOOKUP($H40,Data!$C$6:$Y$29,2,FALSE))</f>
        <v/>
      </c>
      <c r="K40" s="2" t="str">
        <f>IF($H40="","",VLOOKUP($H40,Data!$C$6:$Y$29,3,FALSE))</f>
        <v/>
      </c>
      <c r="L40" s="2" t="str">
        <f>IF($H40="","",VLOOKUP($H40,Data!$C$6:$Y$29,4,FALSE))</f>
        <v/>
      </c>
      <c r="M40" s="2" t="str">
        <f>IF($H40="","",VLOOKUP($H40,Data!$C$6:$Y$29,5,FALSE))</f>
        <v/>
      </c>
      <c r="N40" s="2" t="str">
        <f>IF($H40="","",VLOOKUP($H40,Data!$C$6:$Y$29,6,FALSE))</f>
        <v/>
      </c>
      <c r="O40" s="2" t="str">
        <f>IF($H40="","",VLOOKUP($H40,Data!$C$6:$Y$29,7,FALSE))</f>
        <v/>
      </c>
      <c r="P40" s="2" t="str">
        <f>IF($H40="","",VLOOKUP($H40,Data!$C$6:$Y$29,8,FALSE))</f>
        <v/>
      </c>
      <c r="Q40" s="2" t="str">
        <f>IF($H40="","",VLOOKUP($H40,Data!$C$6:$Y$29,9,FALSE))</f>
        <v/>
      </c>
      <c r="R40" s="2" t="str">
        <f>IF($H40="","",VLOOKUP($H40,Data!$C$6:$Y$29,10,FALSE))</f>
        <v/>
      </c>
      <c r="S40" s="2" t="str">
        <f>IF($H40="","",VLOOKUP($H40,Data!$C$6:$Y$29,11,FALSE))</f>
        <v/>
      </c>
      <c r="T40" s="2" t="str">
        <f>IF($H40="","",VLOOKUP($H40,Data!$C$6:$Y$29,12,FALSE))</f>
        <v/>
      </c>
      <c r="U40" s="2" t="str">
        <f>IF($H40="","",VLOOKUP($H40,Data!$C$6:$Y$29,13,FALSE))</f>
        <v/>
      </c>
      <c r="V40" s="2" t="str">
        <f>IF($H40="","",VLOOKUP($H40,Data!$C$6:$Y$29,14,FALSE))</f>
        <v/>
      </c>
      <c r="W40" s="2" t="str">
        <f>IF($H40="","",VLOOKUP($H40,Data!$C$6:$Y$29,15,FALSE))</f>
        <v/>
      </c>
      <c r="X40" s="2" t="str">
        <f>IF($H40="","",VLOOKUP($H40,Data!$C$6:$Y$29,16,FALSE))</f>
        <v/>
      </c>
      <c r="Y40" s="2" t="str">
        <f>IF($H40="","",VLOOKUP($H40,Data!$C$6:$Y$29,17,FALSE))</f>
        <v/>
      </c>
      <c r="Z40" s="2" t="str">
        <f>IF($H40="","",VLOOKUP($H40,Data!$C$6:$Y$29,18,FALSE))</f>
        <v/>
      </c>
      <c r="AA40" s="2" t="str">
        <f>IF($H40="","",VLOOKUP($H40,Data!$C$6:$Y$29,19,FALSE))</f>
        <v/>
      </c>
      <c r="AB40" s="2" t="str">
        <f>IF($H40="","",VLOOKUP($H40,Data!$C$6:$Y$29,20,FALSE))</f>
        <v/>
      </c>
      <c r="AC40" s="2" t="str">
        <f>IF($H40="","",VLOOKUP($H40,Data!$C$6:$Y$29,21,FALSE))</f>
        <v/>
      </c>
      <c r="AD40" s="2" t="str">
        <f>IF($H40="","",VLOOKUP($H40,Data!$C$6:$Y$29,22,FALSE))</f>
        <v/>
      </c>
      <c r="AE40" s="3" t="str">
        <f>IF($H40="","",VLOOKUP($H40,Data!$C$6:$Y$29,23,FALSE))</f>
        <v/>
      </c>
      <c r="AG40" s="68" t="str">
        <f>IF($E40="","",IF($C40="DUCTED",VLOOKUP($E40,'DX-Data'!$D$5:$J$11,7,TRUE),IF($C40="DECORATIVE",VLOOKUP($E40,'DX-Data'!$D$19:$J$23,7,TRUE),IF($C40="PACKAGED",VLOOKUP($E40,'DX-Data'!$D$24:$J$30,7,TRUE),IF($C40="DUCTED-INV",VLOOKUP($E40,'DX-Data'!$D$12:$J$18,7,TRUE),"CHOOSE AC TYPE")))))</f>
        <v/>
      </c>
      <c r="AH40" s="68" t="str">
        <f>IF($F$8=TRUE,IF($C40="DUCTED",VLOOKUP($F40,'DX-Data'!$F$5:$J$11,5,TRUE),IF($C40="DECORATIVE",VLOOKUP($F40,'DX-Data'!$F$19:$J$23,5,TRUE),IF($C40="PACKAGED",VLOOKUP($F40,'DX-Data'!$F$24:$J$30,5,TRUE),IF($C40="DUCTED-INV",VLOOKUP($F40,'DX-Data'!$F$12:$J$18,5,TRUE),"CHOOSE AC TYPE")))),"NO SELECTION")</f>
        <v>NO SELECTION</v>
      </c>
      <c r="AI40" s="68" t="str">
        <f>IF($G$8=TRUE,IF($C40="DUCTED",VLOOKUP($G40,'DX-Data'!$H$5:$J$11,3,TRUE),IF($C40="DECORATIVE",VLOOKUP($G40,'DX-Data'!$H$19:$J$23,3,TRUE),IF($C40="PACKAGED",VLOOKUP($G40,'DX-Data'!$H$24:$J$30,3,TRUE),IF($C40="DUCTED-INV",VLOOKUP($G40,'DX-Data'!$H$12:$J$18,3,TRUE),"CHOOSE AC TYPE")))),"NO SELECTION")</f>
        <v>NO SELECTION</v>
      </c>
      <c r="AJ40" s="69" t="str">
        <f>IF($E40="","",IF($C40="DUCTED",VLOOKUP($E40,'DX-Data'!$D$5:$J$11,6,TRUE),IF($C40="DECORATIVE",VLOOKUP($E40,'DX-Data'!$D$19:$J$23,6,TRUE),IF($C40="PACKAGED",VLOOKUP($E40,'DX-Data'!$D$24:$J$30,6,TRUE),IF($C40="DUCTED-INV",VLOOKUP($E40,'DX-Data'!$D$12:$J$18,6,TRUE),0)))))</f>
        <v/>
      </c>
      <c r="AK40" s="69">
        <f>IF($F$8=TRUE,IF($C40="DUCTED",VLOOKUP($F40,'DX-Data'!$F$5:$J$11,4,TRUE),IF($C40="DECORATIVE",VLOOKUP($F40,'DX-Data'!$F$19:$J$23,4,TRUE),IF($C40="PACKAGED",VLOOKUP($F40,'DX-Data'!$F$24:$J$30,4,TRUE),IF($C40="DUCTED-INV",VLOOKUP($F40,'DX-Data'!$F$12:$J$18,4,TRUE),"CHOOSE AC TYPE")))),0)</f>
        <v>0</v>
      </c>
      <c r="AL40" s="69">
        <f>IF($G$8=TRUE,IF($C40="DUCTED",VLOOKUP($G40,'DX-Data'!$H$5:$J$11,2,TRUE),IF($C40="DECORATIVE",VLOOKUP($G40,'DX-Data'!$H$19:$J$23,2,TRUE),IF($C40="PACKAGED",VLOOKUP($G40,'DX-Data'!$H$24:$J$30,2,TRUE),IF($C40="DUCTED-INV",VLOOKUP($G40,'DX-Data'!$H$12:$J$18,2,TRUE),"CHOOSE AC TYPE")))),0)</f>
        <v>0</v>
      </c>
      <c r="AM40" s="69">
        <f t="shared" si="2"/>
        <v>0</v>
      </c>
      <c r="AN40" s="68" t="str">
        <f>IF(E40="","",VLOOKUP($AM40,'DX-Data'!$I$5:$J$31,2,FALSE))</f>
        <v/>
      </c>
      <c r="AO40" s="69" t="str">
        <f t="shared" si="3"/>
        <v/>
      </c>
    </row>
    <row r="41" spans="2:41" x14ac:dyDescent="0.3">
      <c r="B41" s="64"/>
      <c r="C41" s="24"/>
      <c r="D41" s="25"/>
      <c r="E41" s="24"/>
      <c r="F41" s="24"/>
      <c r="G41" s="74"/>
      <c r="H41" s="66" t="str">
        <f t="shared" si="0"/>
        <v/>
      </c>
      <c r="I41" s="2" t="str">
        <f t="shared" si="1"/>
        <v/>
      </c>
      <c r="J41" s="21" t="str">
        <f>IF($H41="","",VLOOKUP($H41,Data!$C$6:$Y$29,2,FALSE))</f>
        <v/>
      </c>
      <c r="K41" s="2" t="str">
        <f>IF($H41="","",VLOOKUP($H41,Data!$C$6:$Y$29,3,FALSE))</f>
        <v/>
      </c>
      <c r="L41" s="2" t="str">
        <f>IF($H41="","",VLOOKUP($H41,Data!$C$6:$Y$29,4,FALSE))</f>
        <v/>
      </c>
      <c r="M41" s="2" t="str">
        <f>IF($H41="","",VLOOKUP($H41,Data!$C$6:$Y$29,5,FALSE))</f>
        <v/>
      </c>
      <c r="N41" s="2" t="str">
        <f>IF($H41="","",VLOOKUP($H41,Data!$C$6:$Y$29,6,FALSE))</f>
        <v/>
      </c>
      <c r="O41" s="2" t="str">
        <f>IF($H41="","",VLOOKUP($H41,Data!$C$6:$Y$29,7,FALSE))</f>
        <v/>
      </c>
      <c r="P41" s="2" t="str">
        <f>IF($H41="","",VLOOKUP($H41,Data!$C$6:$Y$29,8,FALSE))</f>
        <v/>
      </c>
      <c r="Q41" s="2" t="str">
        <f>IF($H41="","",VLOOKUP($H41,Data!$C$6:$Y$29,9,FALSE))</f>
        <v/>
      </c>
      <c r="R41" s="2" t="str">
        <f>IF($H41="","",VLOOKUP($H41,Data!$C$6:$Y$29,10,FALSE))</f>
        <v/>
      </c>
      <c r="S41" s="2" t="str">
        <f>IF($H41="","",VLOOKUP($H41,Data!$C$6:$Y$29,11,FALSE))</f>
        <v/>
      </c>
      <c r="T41" s="2" t="str">
        <f>IF($H41="","",VLOOKUP($H41,Data!$C$6:$Y$29,12,FALSE))</f>
        <v/>
      </c>
      <c r="U41" s="2" t="str">
        <f>IF($H41="","",VLOOKUP($H41,Data!$C$6:$Y$29,13,FALSE))</f>
        <v/>
      </c>
      <c r="V41" s="2" t="str">
        <f>IF($H41="","",VLOOKUP($H41,Data!$C$6:$Y$29,14,FALSE))</f>
        <v/>
      </c>
      <c r="W41" s="2" t="str">
        <f>IF($H41="","",VLOOKUP($H41,Data!$C$6:$Y$29,15,FALSE))</f>
        <v/>
      </c>
      <c r="X41" s="2" t="str">
        <f>IF($H41="","",VLOOKUP($H41,Data!$C$6:$Y$29,16,FALSE))</f>
        <v/>
      </c>
      <c r="Y41" s="2" t="str">
        <f>IF($H41="","",VLOOKUP($H41,Data!$C$6:$Y$29,17,FALSE))</f>
        <v/>
      </c>
      <c r="Z41" s="2" t="str">
        <f>IF($H41="","",VLOOKUP($H41,Data!$C$6:$Y$29,18,FALSE))</f>
        <v/>
      </c>
      <c r="AA41" s="2" t="str">
        <f>IF($H41="","",VLOOKUP($H41,Data!$C$6:$Y$29,19,FALSE))</f>
        <v/>
      </c>
      <c r="AB41" s="2" t="str">
        <f>IF($H41="","",VLOOKUP($H41,Data!$C$6:$Y$29,20,FALSE))</f>
        <v/>
      </c>
      <c r="AC41" s="2" t="str">
        <f>IF($H41="","",VLOOKUP($H41,Data!$C$6:$Y$29,21,FALSE))</f>
        <v/>
      </c>
      <c r="AD41" s="2" t="str">
        <f>IF($H41="","",VLOOKUP($H41,Data!$C$6:$Y$29,22,FALSE))</f>
        <v/>
      </c>
      <c r="AE41" s="3" t="str">
        <f>IF($H41="","",VLOOKUP($H41,Data!$C$6:$Y$29,23,FALSE))</f>
        <v/>
      </c>
      <c r="AG41" s="68" t="str">
        <f>IF($E41="","",IF($C41="DUCTED",VLOOKUP($E41,'DX-Data'!$D$5:$J$11,7,TRUE),IF($C41="DECORATIVE",VLOOKUP($E41,'DX-Data'!$D$19:$J$23,7,TRUE),IF($C41="PACKAGED",VLOOKUP($E41,'DX-Data'!$D$24:$J$30,7,TRUE),IF($C41="DUCTED-INV",VLOOKUP($E41,'DX-Data'!$D$12:$J$18,7,TRUE),"CHOOSE AC TYPE")))))</f>
        <v/>
      </c>
      <c r="AH41" s="68" t="str">
        <f>IF($F$8=TRUE,IF($C41="DUCTED",VLOOKUP($F41,'DX-Data'!$F$5:$J$11,5,TRUE),IF($C41="DECORATIVE",VLOOKUP($F41,'DX-Data'!$F$19:$J$23,5,TRUE),IF($C41="PACKAGED",VLOOKUP($F41,'DX-Data'!$F$24:$J$30,5,TRUE),IF($C41="DUCTED-INV",VLOOKUP($F41,'DX-Data'!$F$12:$J$18,5,TRUE),"CHOOSE AC TYPE")))),"NO SELECTION")</f>
        <v>NO SELECTION</v>
      </c>
      <c r="AI41" s="68" t="str">
        <f>IF($G$8=TRUE,IF($C41="DUCTED",VLOOKUP($G41,'DX-Data'!$H$5:$J$11,3,TRUE),IF($C41="DECORATIVE",VLOOKUP($G41,'DX-Data'!$H$19:$J$23,3,TRUE),IF($C41="PACKAGED",VLOOKUP($G41,'DX-Data'!$H$24:$J$30,3,TRUE),IF($C41="DUCTED-INV",VLOOKUP($G41,'DX-Data'!$H$12:$J$18,3,TRUE),"CHOOSE AC TYPE")))),"NO SELECTION")</f>
        <v>NO SELECTION</v>
      </c>
      <c r="AJ41" s="69" t="str">
        <f>IF($E41="","",IF($C41="DUCTED",VLOOKUP($E41,'DX-Data'!$D$5:$J$11,6,TRUE),IF($C41="DECORATIVE",VLOOKUP($E41,'DX-Data'!$D$19:$J$23,6,TRUE),IF($C41="PACKAGED",VLOOKUP($E41,'DX-Data'!$D$24:$J$30,6,TRUE),IF($C41="DUCTED-INV",VLOOKUP($E41,'DX-Data'!$D$12:$J$18,6,TRUE),0)))))</f>
        <v/>
      </c>
      <c r="AK41" s="69">
        <f>IF($F$8=TRUE,IF($C41="DUCTED",VLOOKUP($F41,'DX-Data'!$F$5:$J$11,4,TRUE),IF($C41="DECORATIVE",VLOOKUP($F41,'DX-Data'!$F$19:$J$23,4,TRUE),IF($C41="PACKAGED",VLOOKUP($F41,'DX-Data'!$F$24:$J$30,4,TRUE),IF($C41="DUCTED-INV",VLOOKUP($F41,'DX-Data'!$F$12:$J$18,4,TRUE),"CHOOSE AC TYPE")))),0)</f>
        <v>0</v>
      </c>
      <c r="AL41" s="69">
        <f>IF($G$8=TRUE,IF($C41="DUCTED",VLOOKUP($G41,'DX-Data'!$H$5:$J$11,2,TRUE),IF($C41="DECORATIVE",VLOOKUP($G41,'DX-Data'!$H$19:$J$23,2,TRUE),IF($C41="PACKAGED",VLOOKUP($G41,'DX-Data'!$H$24:$J$30,2,TRUE),IF($C41="DUCTED-INV",VLOOKUP($G41,'DX-Data'!$H$12:$J$18,2,TRUE),"CHOOSE AC TYPE")))),0)</f>
        <v>0</v>
      </c>
      <c r="AM41" s="69">
        <f t="shared" si="2"/>
        <v>0</v>
      </c>
      <c r="AN41" s="68" t="str">
        <f>IF(E41="","",VLOOKUP($AM41,'DX-Data'!$I$5:$J$31,2,FALSE))</f>
        <v/>
      </c>
      <c r="AO41" s="69" t="str">
        <f t="shared" si="3"/>
        <v/>
      </c>
    </row>
    <row r="42" spans="2:41" ht="15" thickBot="1" x14ac:dyDescent="0.35">
      <c r="B42" s="65"/>
      <c r="C42" s="26"/>
      <c r="D42" s="27"/>
      <c r="E42" s="26"/>
      <c r="F42" s="26"/>
      <c r="G42" s="75"/>
      <c r="H42" s="67" t="str">
        <f t="shared" si="0"/>
        <v/>
      </c>
      <c r="I42" s="4" t="str">
        <f t="shared" si="1"/>
        <v/>
      </c>
      <c r="J42" s="36" t="str">
        <f>IF($H42="","",VLOOKUP($H42,Data!$C$6:$Y$29,2,FALSE))</f>
        <v/>
      </c>
      <c r="K42" s="4" t="str">
        <f>IF($H42="","",VLOOKUP($H42,Data!$C$6:$Y$29,3,FALSE))</f>
        <v/>
      </c>
      <c r="L42" s="4" t="str">
        <f>IF($H42="","",VLOOKUP($H42,Data!$C$6:$Y$29,4,FALSE))</f>
        <v/>
      </c>
      <c r="M42" s="4" t="str">
        <f>IF($H42="","",VLOOKUP($H42,Data!$C$6:$Y$29,5,FALSE))</f>
        <v/>
      </c>
      <c r="N42" s="4" t="str">
        <f>IF($H42="","",VLOOKUP($H42,Data!$C$6:$Y$29,6,FALSE))</f>
        <v/>
      </c>
      <c r="O42" s="4" t="str">
        <f>IF($H42="","",VLOOKUP($H42,Data!$C$6:$Y$29,7,FALSE))</f>
        <v/>
      </c>
      <c r="P42" s="4" t="str">
        <f>IF($H42="","",VLOOKUP($H42,Data!$C$6:$Y$29,8,FALSE))</f>
        <v/>
      </c>
      <c r="Q42" s="4" t="str">
        <f>IF($H42="","",VLOOKUP($H42,Data!$C$6:$Y$29,9,FALSE))</f>
        <v/>
      </c>
      <c r="R42" s="4" t="str">
        <f>IF($H42="","",VLOOKUP($H42,Data!$C$6:$Y$29,10,FALSE))</f>
        <v/>
      </c>
      <c r="S42" s="4" t="str">
        <f>IF($H42="","",VLOOKUP($H42,Data!$C$6:$Y$29,11,FALSE))</f>
        <v/>
      </c>
      <c r="T42" s="4" t="str">
        <f>IF($H42="","",VLOOKUP($H42,Data!$C$6:$Y$29,12,FALSE))</f>
        <v/>
      </c>
      <c r="U42" s="4" t="str">
        <f>IF($H42="","",VLOOKUP($H42,Data!$C$6:$Y$29,13,FALSE))</f>
        <v/>
      </c>
      <c r="V42" s="4" t="str">
        <f>IF($H42="","",VLOOKUP($H42,Data!$C$6:$Y$29,14,FALSE))</f>
        <v/>
      </c>
      <c r="W42" s="4" t="str">
        <f>IF($H42="","",VLOOKUP($H42,Data!$C$6:$Y$29,15,FALSE))</f>
        <v/>
      </c>
      <c r="X42" s="4" t="str">
        <f>IF($H42="","",VLOOKUP($H42,Data!$C$6:$Y$29,16,FALSE))</f>
        <v/>
      </c>
      <c r="Y42" s="4" t="str">
        <f>IF($H42="","",VLOOKUP($H42,Data!$C$6:$Y$29,17,FALSE))</f>
        <v/>
      </c>
      <c r="Z42" s="4" t="str">
        <f>IF($H42="","",VLOOKUP($H42,Data!$C$6:$Y$29,18,FALSE))</f>
        <v/>
      </c>
      <c r="AA42" s="4" t="str">
        <f>IF($H42="","",VLOOKUP($H42,Data!$C$6:$Y$29,19,FALSE))</f>
        <v/>
      </c>
      <c r="AB42" s="4" t="str">
        <f>IF($H42="","",VLOOKUP($H42,Data!$C$6:$Y$29,20,FALSE))</f>
        <v/>
      </c>
      <c r="AC42" s="4" t="str">
        <f>IF($H42="","",VLOOKUP($H42,Data!$C$6:$Y$29,21,FALSE))</f>
        <v/>
      </c>
      <c r="AD42" s="4" t="str">
        <f>IF($H42="","",VLOOKUP($H42,Data!$C$6:$Y$29,22,FALSE))</f>
        <v/>
      </c>
      <c r="AE42" s="5" t="str">
        <f>IF($H42="","",VLOOKUP($H42,Data!$C$6:$Y$29,23,FALSE))</f>
        <v/>
      </c>
      <c r="AG42" s="68" t="str">
        <f>IF($E42="","",IF($C42="DUCTED",VLOOKUP($E42,'DX-Data'!$D$5:$J$11,7,TRUE),IF($C42="DECORATIVE",VLOOKUP($E42,'DX-Data'!$D$19:$J$23,7,TRUE),IF($C42="PACKAGED",VLOOKUP($E42,'DX-Data'!$D$24:$J$30,7,TRUE),IF($C42="DUCTED-INV",VLOOKUP($E42,'DX-Data'!$D$12:$J$18,7,TRUE),"CHOOSE AC TYPE")))))</f>
        <v/>
      </c>
      <c r="AH42" s="68" t="str">
        <f>IF($F$8=TRUE,IF($C42="DUCTED",VLOOKUP($F42,'DX-Data'!$F$5:$J$11,5,TRUE),IF($C42="DECORATIVE",VLOOKUP($F42,'DX-Data'!$F$19:$J$23,5,TRUE),IF($C42="PACKAGED",VLOOKUP($F42,'DX-Data'!$F$24:$J$30,5,TRUE),IF($C42="DUCTED-INV",VLOOKUP($F42,'DX-Data'!$F$12:$J$18,5,TRUE),"CHOOSE AC TYPE")))),"NO SELECTION")</f>
        <v>NO SELECTION</v>
      </c>
      <c r="AI42" s="68" t="str">
        <f>IF($G$8=TRUE,IF($C42="DUCTED",VLOOKUP($G42,'DX-Data'!$H$5:$J$11,3,TRUE),IF($C42="DECORATIVE",VLOOKUP($G42,'DX-Data'!$H$19:$J$23,3,TRUE),IF($C42="PACKAGED",VLOOKUP($G42,'DX-Data'!$H$24:$J$30,3,TRUE),IF($C42="DUCTED-INV",VLOOKUP($G42,'DX-Data'!$H$12:$J$18,3,TRUE),"CHOOSE AC TYPE")))),"NO SELECTION")</f>
        <v>NO SELECTION</v>
      </c>
      <c r="AJ42" s="69" t="str">
        <f>IF($E42="","",IF($C42="DUCTED",VLOOKUP($E42,'DX-Data'!$D$5:$J$11,6,TRUE),IF($C42="DECORATIVE",VLOOKUP($E42,'DX-Data'!$D$19:$J$23,6,TRUE),IF($C42="PACKAGED",VLOOKUP($E42,'DX-Data'!$D$24:$J$30,6,TRUE),IF($C42="DUCTED-INV",VLOOKUP($E42,'DX-Data'!$D$12:$J$18,6,TRUE),0)))))</f>
        <v/>
      </c>
      <c r="AK42" s="69">
        <f>IF($F$8=TRUE,IF($C42="DUCTED",VLOOKUP($F42,'DX-Data'!$F$5:$J$11,4,TRUE),IF($C42="DECORATIVE",VLOOKUP($F42,'DX-Data'!$F$19:$J$23,4,TRUE),IF($C42="PACKAGED",VLOOKUP($F42,'DX-Data'!$F$24:$J$30,4,TRUE),IF($C42="DUCTED-INV",VLOOKUP($F42,'DX-Data'!$F$12:$J$18,4,TRUE),"CHOOSE AC TYPE")))),0)</f>
        <v>0</v>
      </c>
      <c r="AL42" s="69">
        <f>IF($G$8=TRUE,IF($C42="DUCTED",VLOOKUP($G42,'DX-Data'!$H$5:$J$11,2,TRUE),IF($C42="DECORATIVE",VLOOKUP($G42,'DX-Data'!$H$19:$J$23,2,TRUE),IF($C42="PACKAGED",VLOOKUP($G42,'DX-Data'!$H$24:$J$30,2,TRUE),IF($C42="DUCTED-INV",VLOOKUP($G42,'DX-Data'!$H$12:$J$18,2,TRUE),"CHOOSE AC TYPE")))),0)</f>
        <v>0</v>
      </c>
      <c r="AM42" s="69">
        <f t="shared" si="2"/>
        <v>0</v>
      </c>
      <c r="AN42" s="68" t="str">
        <f>IF(E42="","",VLOOKUP($AM42,'DX-Data'!$I$5:$J$31,2,FALSE))</f>
        <v/>
      </c>
      <c r="AO42" s="69" t="str">
        <f t="shared" si="3"/>
        <v/>
      </c>
    </row>
    <row r="43" spans="2:41" x14ac:dyDescent="0.3">
      <c r="I43" s="32">
        <f>SUM(I16:I42)</f>
        <v>0</v>
      </c>
      <c r="K43" s="28"/>
      <c r="O43" s="32">
        <f>SUMPRODUCT(I16:I42,O16:O42)</f>
        <v>0</v>
      </c>
      <c r="P43" s="32">
        <f>SUMPRODUCT(I16:I42,P16:P42)</f>
        <v>0</v>
      </c>
      <c r="Q43" s="32">
        <f>SUMPRODUCT(I16:I42,Q16:Q42)</f>
        <v>0</v>
      </c>
      <c r="T43" s="32">
        <f>SUMPRODUCT(I16:I42,T16:T42)</f>
        <v>0</v>
      </c>
    </row>
  </sheetData>
  <mergeCells count="32">
    <mergeCell ref="B11:G11"/>
    <mergeCell ref="B12:B14"/>
    <mergeCell ref="C12:C14"/>
    <mergeCell ref="D12:D14"/>
    <mergeCell ref="H11:AE11"/>
    <mergeCell ref="AD12:AE12"/>
    <mergeCell ref="AA13:AC13"/>
    <mergeCell ref="L12:L14"/>
    <mergeCell ref="O12:P12"/>
    <mergeCell ref="R12:R14"/>
    <mergeCell ref="S12:T12"/>
    <mergeCell ref="U12:U13"/>
    <mergeCell ref="W12:W14"/>
    <mergeCell ref="X12:Z12"/>
    <mergeCell ref="AA12:AC12"/>
    <mergeCell ref="X13:Z13"/>
    <mergeCell ref="E12:E14"/>
    <mergeCell ref="F12:F14"/>
    <mergeCell ref="G12:G14"/>
    <mergeCell ref="K12:K14"/>
    <mergeCell ref="M13:N13"/>
    <mergeCell ref="AG12:AO12"/>
    <mergeCell ref="H12:H14"/>
    <mergeCell ref="S13:S14"/>
    <mergeCell ref="T13:T14"/>
    <mergeCell ref="I12:I14"/>
    <mergeCell ref="P13:P14"/>
    <mergeCell ref="Q13:Q14"/>
    <mergeCell ref="M12:N12"/>
    <mergeCell ref="V12:V14"/>
    <mergeCell ref="O13:O14"/>
    <mergeCell ref="J12:J14"/>
  </mergeCells>
  <dataValidations count="1">
    <dataValidation type="list" allowBlank="1" showInputMessage="1" showErrorMessage="1" sqref="C16:C42" xr:uid="{1BD7789A-D0BE-4E2F-8B64-2E1B237E7A68}">
      <formula1>"DUCTED, DUCTED-INV, DECORATIVE,PACKAGED"</formula1>
    </dataValidation>
  </dataValidations>
  <pageMargins left="0.25" right="0.25" top="0.75" bottom="0.75" header="0.3" footer="0.3"/>
  <pageSetup scale="40" fitToHeight="0" orientation="landscape" horizontalDpi="300" verticalDpi="300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1" r:id="rId5" name="Check Box 7">
              <controlPr defaultSize="0" autoFill="0" autoLine="0" autoPict="0">
                <anchor moveWithCells="1">
                  <from>
                    <xdr:col>5</xdr:col>
                    <xdr:colOff>76200</xdr:colOff>
                    <xdr:row>6</xdr:row>
                    <xdr:rowOff>0</xdr:rowOff>
                  </from>
                  <to>
                    <xdr:col>6</xdr:col>
                    <xdr:colOff>22860</xdr:colOff>
                    <xdr:row>8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6" name="Check Box 8">
              <controlPr defaultSize="0" autoFill="0" autoLine="0" autoPict="0">
                <anchor moveWithCells="1">
                  <from>
                    <xdr:col>6</xdr:col>
                    <xdr:colOff>76200</xdr:colOff>
                    <xdr:row>6</xdr:row>
                    <xdr:rowOff>0</xdr:rowOff>
                  </from>
                  <to>
                    <xdr:col>6</xdr:col>
                    <xdr:colOff>571500</xdr:colOff>
                    <xdr:row>8</xdr:row>
                    <xdr:rowOff>7620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E67CF-0C4F-4827-8A8A-12935A5FF552}">
          <x14:formula1>
            <xm:f>Data!$C$6:$C$29</xm:f>
          </x14:formula1>
          <xm:sqref>H16:H42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Y33"/>
  <sheetViews>
    <sheetView view="pageBreakPreview" zoomScale="70" zoomScaleNormal="70" zoomScaleSheetLayoutView="70" workbookViewId="0">
      <selection activeCell="D13" sqref="D13"/>
    </sheetView>
  </sheetViews>
  <sheetFormatPr defaultRowHeight="14.4" x14ac:dyDescent="0.3"/>
  <cols>
    <col min="1" max="1" width="18.6640625" style="1" customWidth="1"/>
    <col min="2" max="2" width="14.5546875" style="1" customWidth="1"/>
    <col min="3" max="3" width="30.109375" style="1" bestFit="1" customWidth="1"/>
    <col min="4" max="4" width="9.33203125" style="1" customWidth="1"/>
    <col min="5" max="5" width="12.5546875" style="1" bestFit="1" customWidth="1"/>
    <col min="6" max="6" width="14.109375" style="1" bestFit="1" customWidth="1"/>
    <col min="7" max="8" width="8.6640625" style="1"/>
    <col min="9" max="9" width="8.88671875" style="1" customWidth="1"/>
    <col min="10" max="10" width="8.44140625" style="1" customWidth="1"/>
    <col min="11" max="11" width="6.5546875" style="1" customWidth="1"/>
    <col min="12" max="12" width="8.88671875" style="1" bestFit="1" customWidth="1"/>
    <col min="13" max="13" width="8.88671875" style="1" customWidth="1"/>
    <col min="14" max="14" width="11.33203125" style="1" customWidth="1"/>
    <col min="15" max="15" width="8.6640625" style="1"/>
    <col min="16" max="16" width="4.109375" style="1" bestFit="1" customWidth="1"/>
    <col min="17" max="17" width="12.5546875" style="1" bestFit="1" customWidth="1"/>
    <col min="18" max="18" width="5.88671875" style="1" customWidth="1"/>
    <col min="19" max="19" width="6.88671875" style="1" customWidth="1"/>
    <col min="20" max="20" width="5.77734375" style="1" customWidth="1"/>
    <col min="21" max="21" width="6.33203125" style="1" customWidth="1"/>
    <col min="22" max="22" width="5.77734375" style="1" customWidth="1"/>
    <col min="23" max="23" width="6.109375" style="1" customWidth="1"/>
    <col min="24" max="24" width="6.88671875" style="1" bestFit="1" customWidth="1"/>
    <col min="25" max="25" width="8.44140625" style="1" bestFit="1" customWidth="1"/>
  </cols>
  <sheetData>
    <row r="1" spans="1:25" ht="15" thickBot="1" x14ac:dyDescent="0.35"/>
    <row r="2" spans="1:25" ht="15" customHeight="1" x14ac:dyDescent="0.3">
      <c r="A2" s="109" t="s">
        <v>23</v>
      </c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1"/>
    </row>
    <row r="3" spans="1:25" ht="30" customHeight="1" x14ac:dyDescent="0.3">
      <c r="A3" s="117" t="s">
        <v>0</v>
      </c>
      <c r="B3" s="118"/>
      <c r="C3" s="13" t="s">
        <v>24</v>
      </c>
      <c r="D3" s="81" t="s">
        <v>44</v>
      </c>
      <c r="E3" s="81" t="s">
        <v>45</v>
      </c>
      <c r="F3" s="81" t="s">
        <v>17</v>
      </c>
      <c r="G3" s="85" t="s">
        <v>3</v>
      </c>
      <c r="H3" s="85"/>
      <c r="I3" s="119" t="s">
        <v>1</v>
      </c>
      <c r="J3" s="119"/>
      <c r="K3" s="16" t="s">
        <v>2</v>
      </c>
      <c r="L3" s="113" t="s">
        <v>34</v>
      </c>
      <c r="M3" s="120" t="s">
        <v>70</v>
      </c>
      <c r="N3" s="121"/>
      <c r="O3" s="85" t="s">
        <v>25</v>
      </c>
      <c r="P3" s="85" t="s">
        <v>4</v>
      </c>
      <c r="Q3" s="85" t="s">
        <v>5</v>
      </c>
      <c r="R3" s="85" t="s">
        <v>6</v>
      </c>
      <c r="S3" s="85"/>
      <c r="T3" s="85"/>
      <c r="U3" s="85" t="s">
        <v>6</v>
      </c>
      <c r="V3" s="85"/>
      <c r="W3" s="85"/>
      <c r="X3" s="85" t="s">
        <v>7</v>
      </c>
      <c r="Y3" s="112"/>
    </row>
    <row r="4" spans="1:25" x14ac:dyDescent="0.3">
      <c r="A4" s="117"/>
      <c r="B4" s="118"/>
      <c r="C4" s="85" t="s">
        <v>12</v>
      </c>
      <c r="D4" s="82"/>
      <c r="E4" s="82"/>
      <c r="F4" s="82"/>
      <c r="G4" s="85" t="s">
        <v>11</v>
      </c>
      <c r="H4" s="85"/>
      <c r="I4" s="85" t="s">
        <v>8</v>
      </c>
      <c r="J4" s="85" t="s">
        <v>9</v>
      </c>
      <c r="K4" s="85" t="s">
        <v>10</v>
      </c>
      <c r="L4" s="106"/>
      <c r="M4" s="81" t="s">
        <v>71</v>
      </c>
      <c r="N4" s="82" t="s">
        <v>72</v>
      </c>
      <c r="O4" s="85"/>
      <c r="P4" s="85"/>
      <c r="Q4" s="85"/>
      <c r="R4" s="85" t="s">
        <v>14</v>
      </c>
      <c r="S4" s="85"/>
      <c r="T4" s="85"/>
      <c r="U4" s="85" t="s">
        <v>15</v>
      </c>
      <c r="V4" s="85"/>
      <c r="W4" s="85"/>
      <c r="X4" s="13" t="s">
        <v>16</v>
      </c>
      <c r="Y4" s="14" t="s">
        <v>13</v>
      </c>
    </row>
    <row r="5" spans="1:25" ht="15" thickBot="1" x14ac:dyDescent="0.35">
      <c r="A5" s="6" t="s">
        <v>29</v>
      </c>
      <c r="B5" s="17"/>
      <c r="C5" s="81"/>
      <c r="D5" s="84"/>
      <c r="E5" s="84"/>
      <c r="F5" s="84"/>
      <c r="G5" s="15" t="s">
        <v>16</v>
      </c>
      <c r="H5" s="15" t="s">
        <v>13</v>
      </c>
      <c r="I5" s="81"/>
      <c r="J5" s="81"/>
      <c r="K5" s="81"/>
      <c r="L5" s="106"/>
      <c r="M5" s="84"/>
      <c r="N5" s="82"/>
      <c r="O5" s="7" t="s">
        <v>18</v>
      </c>
      <c r="P5" s="81"/>
      <c r="Q5" s="81"/>
      <c r="R5" s="15" t="s">
        <v>19</v>
      </c>
      <c r="S5" s="15" t="s">
        <v>20</v>
      </c>
      <c r="T5" s="15" t="s">
        <v>21</v>
      </c>
      <c r="U5" s="15" t="s">
        <v>19</v>
      </c>
      <c r="V5" s="15" t="s">
        <v>20</v>
      </c>
      <c r="W5" s="15" t="s">
        <v>21</v>
      </c>
      <c r="X5" s="15" t="s">
        <v>22</v>
      </c>
      <c r="Y5" s="8" t="s">
        <v>22</v>
      </c>
    </row>
    <row r="6" spans="1:25" x14ac:dyDescent="0.3">
      <c r="A6" s="114" t="s">
        <v>38</v>
      </c>
      <c r="B6" s="9" t="s">
        <v>39</v>
      </c>
      <c r="C6" s="9" t="s">
        <v>48</v>
      </c>
      <c r="D6" s="35">
        <v>1.5</v>
      </c>
      <c r="E6" s="9" t="s">
        <v>46</v>
      </c>
      <c r="F6" s="9" t="s">
        <v>32</v>
      </c>
      <c r="G6" s="9" t="s">
        <v>30</v>
      </c>
      <c r="H6" s="9">
        <v>46</v>
      </c>
      <c r="I6" s="9">
        <v>4.24</v>
      </c>
      <c r="J6" s="9">
        <v>4.1100000000000003</v>
      </c>
      <c r="K6" s="9">
        <v>255</v>
      </c>
      <c r="L6" s="9" t="s">
        <v>35</v>
      </c>
      <c r="M6" s="9">
        <v>1.77</v>
      </c>
      <c r="N6" s="9">
        <v>1.8</v>
      </c>
      <c r="O6" s="9">
        <v>3.49</v>
      </c>
      <c r="P6" s="9">
        <v>40</v>
      </c>
      <c r="Q6" s="9" t="s">
        <v>26</v>
      </c>
      <c r="R6" s="9">
        <v>261</v>
      </c>
      <c r="S6" s="9">
        <v>1200</v>
      </c>
      <c r="T6" s="9">
        <v>448</v>
      </c>
      <c r="U6" s="9">
        <v>753</v>
      </c>
      <c r="V6" s="9">
        <v>855</v>
      </c>
      <c r="W6" s="9">
        <v>328</v>
      </c>
      <c r="X6" s="9">
        <v>26</v>
      </c>
      <c r="Y6" s="10">
        <v>47</v>
      </c>
    </row>
    <row r="7" spans="1:25" x14ac:dyDescent="0.3">
      <c r="A7" s="115"/>
      <c r="B7" s="2" t="s">
        <v>39</v>
      </c>
      <c r="C7" s="2" t="s">
        <v>49</v>
      </c>
      <c r="D7" s="21">
        <v>2</v>
      </c>
      <c r="E7" s="2" t="s">
        <v>46</v>
      </c>
      <c r="F7" s="2" t="s">
        <v>32</v>
      </c>
      <c r="G7" s="2" t="s">
        <v>30</v>
      </c>
      <c r="H7" s="2">
        <v>46</v>
      </c>
      <c r="I7" s="2">
        <v>5.48</v>
      </c>
      <c r="J7" s="2">
        <v>5.05</v>
      </c>
      <c r="K7" s="2">
        <v>303</v>
      </c>
      <c r="L7" s="2" t="s">
        <v>35</v>
      </c>
      <c r="M7" s="2">
        <v>2.29</v>
      </c>
      <c r="N7" s="2">
        <v>2.35</v>
      </c>
      <c r="O7" s="2">
        <v>3.44</v>
      </c>
      <c r="P7" s="2">
        <v>40</v>
      </c>
      <c r="Q7" s="2" t="s">
        <v>26</v>
      </c>
      <c r="R7" s="2">
        <v>378</v>
      </c>
      <c r="S7" s="2">
        <v>1115</v>
      </c>
      <c r="T7" s="2">
        <v>541</v>
      </c>
      <c r="U7" s="2">
        <v>753</v>
      </c>
      <c r="V7" s="2">
        <v>855</v>
      </c>
      <c r="W7" s="2">
        <v>328</v>
      </c>
      <c r="X7" s="2">
        <v>44</v>
      </c>
      <c r="Y7" s="3">
        <v>51</v>
      </c>
    </row>
    <row r="8" spans="1:25" x14ac:dyDescent="0.3">
      <c r="A8" s="115"/>
      <c r="B8" s="2" t="s">
        <v>39</v>
      </c>
      <c r="C8" s="2" t="s">
        <v>50</v>
      </c>
      <c r="D8" s="21">
        <v>2.5</v>
      </c>
      <c r="E8" s="2" t="s">
        <v>46</v>
      </c>
      <c r="F8" s="2" t="s">
        <v>32</v>
      </c>
      <c r="G8" s="2" t="s">
        <v>30</v>
      </c>
      <c r="H8" s="2">
        <v>46</v>
      </c>
      <c r="I8" s="2">
        <v>6.93</v>
      </c>
      <c r="J8" s="2">
        <v>6.3</v>
      </c>
      <c r="K8" s="2">
        <v>374</v>
      </c>
      <c r="L8" s="2" t="s">
        <v>35</v>
      </c>
      <c r="M8" s="2">
        <v>2.87</v>
      </c>
      <c r="N8" s="2">
        <v>3.05</v>
      </c>
      <c r="O8" s="2">
        <v>3.49</v>
      </c>
      <c r="P8" s="2">
        <v>40</v>
      </c>
      <c r="Q8" s="2" t="s">
        <v>26</v>
      </c>
      <c r="R8" s="2">
        <v>378</v>
      </c>
      <c r="S8" s="2">
        <v>1115</v>
      </c>
      <c r="T8" s="2">
        <v>541</v>
      </c>
      <c r="U8" s="2">
        <v>852</v>
      </c>
      <c r="V8" s="2">
        <v>1030</v>
      </c>
      <c r="W8" s="2">
        <v>400</v>
      </c>
      <c r="X8" s="2">
        <v>44</v>
      </c>
      <c r="Y8" s="3">
        <v>75</v>
      </c>
    </row>
    <row r="9" spans="1:25" x14ac:dyDescent="0.3">
      <c r="A9" s="115"/>
      <c r="B9" s="2" t="s">
        <v>39</v>
      </c>
      <c r="C9" s="2" t="s">
        <v>51</v>
      </c>
      <c r="D9" s="21">
        <v>3</v>
      </c>
      <c r="E9" s="2" t="s">
        <v>46</v>
      </c>
      <c r="F9" s="2" t="s">
        <v>32</v>
      </c>
      <c r="G9" s="2" t="s">
        <v>30</v>
      </c>
      <c r="H9" s="2">
        <v>46</v>
      </c>
      <c r="I9" s="2">
        <v>8.42</v>
      </c>
      <c r="J9" s="2">
        <v>8.18</v>
      </c>
      <c r="K9" s="2">
        <v>650</v>
      </c>
      <c r="L9" s="2" t="s">
        <v>35</v>
      </c>
      <c r="M9" s="2">
        <v>3.39</v>
      </c>
      <c r="N9" s="2">
        <v>3.55</v>
      </c>
      <c r="O9" s="2">
        <v>3.56</v>
      </c>
      <c r="P9" s="2">
        <v>50</v>
      </c>
      <c r="Q9" s="2" t="s">
        <v>26</v>
      </c>
      <c r="R9" s="2">
        <v>378</v>
      </c>
      <c r="S9" s="2">
        <v>1369</v>
      </c>
      <c r="T9" s="2">
        <v>541</v>
      </c>
      <c r="U9" s="2">
        <v>852</v>
      </c>
      <c r="V9" s="2">
        <v>1030</v>
      </c>
      <c r="W9" s="2">
        <v>400</v>
      </c>
      <c r="X9" s="2">
        <v>50</v>
      </c>
      <c r="Y9" s="3">
        <v>92</v>
      </c>
    </row>
    <row r="10" spans="1:25" x14ac:dyDescent="0.3">
      <c r="A10" s="115"/>
      <c r="B10" s="2" t="s">
        <v>39</v>
      </c>
      <c r="C10" s="2" t="s">
        <v>52</v>
      </c>
      <c r="D10" s="21">
        <v>4</v>
      </c>
      <c r="E10" s="2" t="s">
        <v>46</v>
      </c>
      <c r="F10" s="2" t="s">
        <v>32</v>
      </c>
      <c r="G10" s="2" t="s">
        <v>30</v>
      </c>
      <c r="H10" s="2">
        <v>46</v>
      </c>
      <c r="I10" s="2">
        <v>11.46</v>
      </c>
      <c r="J10" s="2">
        <v>9.9600000000000009</v>
      </c>
      <c r="K10" s="2">
        <v>686</v>
      </c>
      <c r="L10" s="2" t="s">
        <v>35</v>
      </c>
      <c r="M10" s="2">
        <v>4.7</v>
      </c>
      <c r="N10" s="2">
        <v>4.95</v>
      </c>
      <c r="O10" s="2">
        <v>3.41</v>
      </c>
      <c r="P10" s="2">
        <v>50</v>
      </c>
      <c r="Q10" s="2" t="s">
        <v>27</v>
      </c>
      <c r="R10" s="2">
        <v>378</v>
      </c>
      <c r="S10" s="2">
        <v>1569</v>
      </c>
      <c r="T10" s="2">
        <v>541</v>
      </c>
      <c r="U10" s="2">
        <v>852</v>
      </c>
      <c r="V10" s="2">
        <v>1030</v>
      </c>
      <c r="W10" s="2">
        <v>400</v>
      </c>
      <c r="X10" s="2">
        <v>56</v>
      </c>
      <c r="Y10" s="3">
        <v>87</v>
      </c>
    </row>
    <row r="11" spans="1:25" ht="15" thickBot="1" x14ac:dyDescent="0.35">
      <c r="A11" s="115"/>
      <c r="B11" s="4" t="s">
        <v>39</v>
      </c>
      <c r="C11" s="4" t="s">
        <v>53</v>
      </c>
      <c r="D11" s="36">
        <v>5</v>
      </c>
      <c r="E11" s="4" t="s">
        <v>46</v>
      </c>
      <c r="F11" s="4" t="s">
        <v>32</v>
      </c>
      <c r="G11" s="4" t="s">
        <v>30</v>
      </c>
      <c r="H11" s="4">
        <v>46</v>
      </c>
      <c r="I11" s="4">
        <v>13.5</v>
      </c>
      <c r="J11" s="4">
        <v>12.28</v>
      </c>
      <c r="K11" s="4">
        <v>826</v>
      </c>
      <c r="L11" s="4" t="s">
        <v>35</v>
      </c>
      <c r="M11" s="4">
        <v>5.34</v>
      </c>
      <c r="N11" s="4">
        <v>5.62</v>
      </c>
      <c r="O11" s="4">
        <v>3.52</v>
      </c>
      <c r="P11" s="4">
        <v>50</v>
      </c>
      <c r="Q11" s="4" t="s">
        <v>27</v>
      </c>
      <c r="R11" s="4">
        <v>430</v>
      </c>
      <c r="S11" s="4">
        <v>1432</v>
      </c>
      <c r="T11" s="4">
        <v>784</v>
      </c>
      <c r="U11" s="4">
        <v>1067</v>
      </c>
      <c r="V11" s="4">
        <v>930</v>
      </c>
      <c r="W11" s="4">
        <v>880</v>
      </c>
      <c r="X11" s="4">
        <v>71</v>
      </c>
      <c r="Y11" s="5">
        <v>120</v>
      </c>
    </row>
    <row r="12" spans="1:25" x14ac:dyDescent="0.3">
      <c r="A12" s="115"/>
      <c r="B12" s="9" t="s">
        <v>40</v>
      </c>
      <c r="C12" s="9" t="s">
        <v>54</v>
      </c>
      <c r="D12" s="9">
        <v>1.5</v>
      </c>
      <c r="E12" s="9" t="s">
        <v>47</v>
      </c>
      <c r="F12" s="9" t="s">
        <v>33</v>
      </c>
      <c r="G12" s="9" t="s">
        <v>36</v>
      </c>
      <c r="H12" s="9">
        <v>46</v>
      </c>
      <c r="I12" s="9">
        <v>4.2699999999999996</v>
      </c>
      <c r="J12" s="9">
        <v>3.93</v>
      </c>
      <c r="K12" s="9">
        <v>325</v>
      </c>
      <c r="L12" s="9" t="s">
        <v>35</v>
      </c>
      <c r="M12" s="9">
        <v>1.55</v>
      </c>
      <c r="N12" s="9">
        <v>1.6</v>
      </c>
      <c r="O12" s="18">
        <v>3.85</v>
      </c>
      <c r="P12" s="9">
        <v>30</v>
      </c>
      <c r="Q12" s="9" t="s">
        <v>26</v>
      </c>
      <c r="R12" s="9">
        <v>300</v>
      </c>
      <c r="S12" s="9">
        <v>1000</v>
      </c>
      <c r="T12" s="9">
        <v>700</v>
      </c>
      <c r="U12" s="9">
        <v>595</v>
      </c>
      <c r="V12" s="9">
        <v>845</v>
      </c>
      <c r="W12" s="9">
        <v>300</v>
      </c>
      <c r="X12" s="9">
        <v>35</v>
      </c>
      <c r="Y12" s="10">
        <v>40</v>
      </c>
    </row>
    <row r="13" spans="1:25" x14ac:dyDescent="0.3">
      <c r="A13" s="115"/>
      <c r="B13" s="2" t="s">
        <v>40</v>
      </c>
      <c r="C13" s="2" t="s">
        <v>55</v>
      </c>
      <c r="D13" s="2">
        <v>2</v>
      </c>
      <c r="E13" s="2" t="s">
        <v>47</v>
      </c>
      <c r="F13" s="2" t="s">
        <v>33</v>
      </c>
      <c r="G13" s="2" t="s">
        <v>36</v>
      </c>
      <c r="H13" s="2">
        <v>46</v>
      </c>
      <c r="I13" s="2">
        <v>6.4</v>
      </c>
      <c r="J13" s="2">
        <v>4.8</v>
      </c>
      <c r="K13" s="2">
        <v>450</v>
      </c>
      <c r="L13" s="2" t="s">
        <v>35</v>
      </c>
      <c r="M13" s="2">
        <v>2.42</v>
      </c>
      <c r="N13" s="2">
        <v>2.5</v>
      </c>
      <c r="O13" s="19">
        <v>4.16</v>
      </c>
      <c r="P13" s="2">
        <v>30</v>
      </c>
      <c r="Q13" s="2" t="s">
        <v>26</v>
      </c>
      <c r="R13" s="2">
        <v>300</v>
      </c>
      <c r="S13" s="2">
        <v>1400</v>
      </c>
      <c r="T13" s="2">
        <v>700</v>
      </c>
      <c r="U13" s="2">
        <v>990</v>
      </c>
      <c r="V13" s="2">
        <v>940</v>
      </c>
      <c r="W13" s="2">
        <v>320</v>
      </c>
      <c r="X13" s="2">
        <v>45</v>
      </c>
      <c r="Y13" s="3">
        <v>60</v>
      </c>
    </row>
    <row r="14" spans="1:25" x14ac:dyDescent="0.3">
      <c r="A14" s="115"/>
      <c r="B14" s="2" t="s">
        <v>40</v>
      </c>
      <c r="C14" s="2" t="s">
        <v>56</v>
      </c>
      <c r="D14" s="2">
        <v>2.5</v>
      </c>
      <c r="E14" s="2" t="s">
        <v>47</v>
      </c>
      <c r="F14" s="2" t="s">
        <v>33</v>
      </c>
      <c r="G14" s="2" t="s">
        <v>36</v>
      </c>
      <c r="H14" s="2">
        <v>46</v>
      </c>
      <c r="I14" s="2">
        <v>7.69</v>
      </c>
      <c r="J14" s="2">
        <v>6.82</v>
      </c>
      <c r="K14" s="2">
        <v>567</v>
      </c>
      <c r="L14" s="2" t="s">
        <v>35</v>
      </c>
      <c r="M14" s="2">
        <v>3.1</v>
      </c>
      <c r="N14" s="2">
        <v>3.2</v>
      </c>
      <c r="O14" s="19">
        <v>3.6331673014942867</v>
      </c>
      <c r="P14" s="2">
        <v>30</v>
      </c>
      <c r="Q14" s="2" t="s">
        <v>26</v>
      </c>
      <c r="R14" s="2">
        <v>300</v>
      </c>
      <c r="S14" s="2">
        <v>1400</v>
      </c>
      <c r="T14" s="2">
        <v>700</v>
      </c>
      <c r="U14" s="2">
        <v>990</v>
      </c>
      <c r="V14" s="2">
        <v>940</v>
      </c>
      <c r="W14" s="2">
        <v>320</v>
      </c>
      <c r="X14" s="2">
        <v>45</v>
      </c>
      <c r="Y14" s="3">
        <v>61</v>
      </c>
    </row>
    <row r="15" spans="1:25" x14ac:dyDescent="0.3">
      <c r="A15" s="115"/>
      <c r="B15" s="2" t="s">
        <v>40</v>
      </c>
      <c r="C15" s="2" t="s">
        <v>57</v>
      </c>
      <c r="D15" s="21">
        <v>3</v>
      </c>
      <c r="E15" s="21" t="s">
        <v>47</v>
      </c>
      <c r="F15" s="2" t="s">
        <v>33</v>
      </c>
      <c r="G15" s="2" t="s">
        <v>36</v>
      </c>
      <c r="H15" s="2">
        <v>46</v>
      </c>
      <c r="I15" s="2">
        <v>7.72</v>
      </c>
      <c r="J15" s="2">
        <v>6.6</v>
      </c>
      <c r="K15" s="2">
        <v>567</v>
      </c>
      <c r="L15" s="2" t="s">
        <v>35</v>
      </c>
      <c r="M15" s="2">
        <v>3.1</v>
      </c>
      <c r="N15" s="2">
        <v>3.2</v>
      </c>
      <c r="O15" s="19">
        <v>3.55</v>
      </c>
      <c r="P15" s="2">
        <v>50</v>
      </c>
      <c r="Q15" s="2" t="s">
        <v>26</v>
      </c>
      <c r="R15" s="2">
        <v>300</v>
      </c>
      <c r="S15" s="2">
        <v>1400</v>
      </c>
      <c r="T15" s="2">
        <v>700</v>
      </c>
      <c r="U15" s="2">
        <v>990</v>
      </c>
      <c r="V15" s="2">
        <v>940</v>
      </c>
      <c r="W15" s="2">
        <v>320</v>
      </c>
      <c r="X15" s="2">
        <v>45</v>
      </c>
      <c r="Y15" s="3">
        <v>61</v>
      </c>
    </row>
    <row r="16" spans="1:25" x14ac:dyDescent="0.3">
      <c r="A16" s="115"/>
      <c r="B16" s="2" t="s">
        <v>40</v>
      </c>
      <c r="C16" s="2" t="s">
        <v>58</v>
      </c>
      <c r="D16" s="2">
        <v>4</v>
      </c>
      <c r="E16" s="2" t="s">
        <v>47</v>
      </c>
      <c r="F16" s="2" t="s">
        <v>33</v>
      </c>
      <c r="G16" s="2" t="s">
        <v>36</v>
      </c>
      <c r="H16" s="2">
        <v>46</v>
      </c>
      <c r="I16" s="2">
        <v>10.74</v>
      </c>
      <c r="J16" s="2">
        <v>10.44</v>
      </c>
      <c r="K16" s="2">
        <v>683</v>
      </c>
      <c r="L16" s="2" t="s">
        <v>35</v>
      </c>
      <c r="M16" s="2">
        <v>4.6399999999999997</v>
      </c>
      <c r="N16" s="2">
        <v>4.8</v>
      </c>
      <c r="O16" s="19">
        <v>3.51</v>
      </c>
      <c r="P16" s="2">
        <v>50</v>
      </c>
      <c r="Q16" s="2" t="s">
        <v>27</v>
      </c>
      <c r="R16" s="2">
        <v>400</v>
      </c>
      <c r="S16" s="2">
        <v>1500</v>
      </c>
      <c r="T16" s="2">
        <v>800</v>
      </c>
      <c r="U16" s="2">
        <v>870</v>
      </c>
      <c r="V16" s="2">
        <v>1100</v>
      </c>
      <c r="W16" s="2">
        <v>520</v>
      </c>
      <c r="X16" s="2">
        <v>59</v>
      </c>
      <c r="Y16" s="3">
        <v>95</v>
      </c>
    </row>
    <row r="17" spans="1:25" ht="15" thickBot="1" x14ac:dyDescent="0.35">
      <c r="A17" s="116"/>
      <c r="B17" s="4" t="s">
        <v>40</v>
      </c>
      <c r="C17" s="4" t="s">
        <v>59</v>
      </c>
      <c r="D17" s="4">
        <v>4.5</v>
      </c>
      <c r="E17" s="4" t="s">
        <v>47</v>
      </c>
      <c r="F17" s="4" t="s">
        <v>33</v>
      </c>
      <c r="G17" s="4" t="s">
        <v>36</v>
      </c>
      <c r="H17" s="4">
        <v>46</v>
      </c>
      <c r="I17" s="4">
        <v>12.08</v>
      </c>
      <c r="J17" s="4">
        <v>11.75</v>
      </c>
      <c r="K17" s="4">
        <v>683</v>
      </c>
      <c r="L17" s="4" t="s">
        <v>35</v>
      </c>
      <c r="M17" s="4">
        <v>5.0199999999999996</v>
      </c>
      <c r="N17" s="4">
        <v>5.4</v>
      </c>
      <c r="O17" s="20">
        <v>3.51</v>
      </c>
      <c r="P17" s="4">
        <v>50</v>
      </c>
      <c r="Q17" s="4" t="s">
        <v>27</v>
      </c>
      <c r="R17" s="4">
        <v>400</v>
      </c>
      <c r="S17" s="4">
        <v>1500</v>
      </c>
      <c r="T17" s="4">
        <v>800</v>
      </c>
      <c r="U17" s="4">
        <v>870</v>
      </c>
      <c r="V17" s="4">
        <v>1100</v>
      </c>
      <c r="W17" s="4">
        <v>520</v>
      </c>
      <c r="X17" s="4">
        <v>59</v>
      </c>
      <c r="Y17" s="5">
        <v>95</v>
      </c>
    </row>
    <row r="18" spans="1:25" x14ac:dyDescent="0.3">
      <c r="A18" s="114" t="s">
        <v>41</v>
      </c>
      <c r="B18" s="9" t="s">
        <v>42</v>
      </c>
      <c r="C18" s="9" t="s">
        <v>63</v>
      </c>
      <c r="D18" s="9">
        <v>1.5</v>
      </c>
      <c r="E18" s="9" t="s">
        <v>47</v>
      </c>
      <c r="F18" s="9" t="s">
        <v>33</v>
      </c>
      <c r="G18" s="9" t="s">
        <v>31</v>
      </c>
      <c r="H18" s="9">
        <v>46</v>
      </c>
      <c r="I18" s="9">
        <v>4.6100000000000003</v>
      </c>
      <c r="J18" s="9">
        <v>4.16</v>
      </c>
      <c r="K18" s="9">
        <v>342</v>
      </c>
      <c r="L18" s="9" t="s">
        <v>37</v>
      </c>
      <c r="M18" s="9">
        <v>1.57</v>
      </c>
      <c r="N18" s="9">
        <v>2.12</v>
      </c>
      <c r="O18" s="9">
        <v>3.91</v>
      </c>
      <c r="P18" s="9" t="s">
        <v>28</v>
      </c>
      <c r="Q18" s="9" t="s">
        <v>26</v>
      </c>
      <c r="R18" s="9">
        <v>340</v>
      </c>
      <c r="S18" s="9">
        <v>1050</v>
      </c>
      <c r="T18" s="9">
        <v>259</v>
      </c>
      <c r="U18" s="9">
        <v>695</v>
      </c>
      <c r="V18" s="9">
        <v>930</v>
      </c>
      <c r="W18" s="9">
        <v>350</v>
      </c>
      <c r="X18" s="9">
        <v>15</v>
      </c>
      <c r="Y18" s="10">
        <v>46</v>
      </c>
    </row>
    <row r="19" spans="1:25" x14ac:dyDescent="0.3">
      <c r="A19" s="115"/>
      <c r="B19" s="2" t="s">
        <v>42</v>
      </c>
      <c r="C19" s="2" t="s">
        <v>64</v>
      </c>
      <c r="D19" s="2">
        <v>2</v>
      </c>
      <c r="E19" s="2" t="s">
        <v>47</v>
      </c>
      <c r="F19" s="2" t="s">
        <v>33</v>
      </c>
      <c r="G19" s="2" t="s">
        <v>31</v>
      </c>
      <c r="H19" s="2">
        <v>46</v>
      </c>
      <c r="I19" s="2">
        <v>6.15</v>
      </c>
      <c r="J19" s="19">
        <v>5</v>
      </c>
      <c r="K19" s="2">
        <v>367</v>
      </c>
      <c r="L19" s="2" t="s">
        <v>37</v>
      </c>
      <c r="M19" s="2">
        <v>2.19</v>
      </c>
      <c r="N19" s="2">
        <v>2.82</v>
      </c>
      <c r="O19" s="2">
        <v>3.72</v>
      </c>
      <c r="P19" s="2" t="s">
        <v>28</v>
      </c>
      <c r="Q19" s="2" t="s">
        <v>26</v>
      </c>
      <c r="R19" s="2">
        <v>340</v>
      </c>
      <c r="S19" s="2">
        <v>1050</v>
      </c>
      <c r="T19" s="2">
        <v>259</v>
      </c>
      <c r="U19" s="2">
        <v>695</v>
      </c>
      <c r="V19" s="2">
        <v>930</v>
      </c>
      <c r="W19" s="2">
        <v>350</v>
      </c>
      <c r="X19" s="2">
        <v>15</v>
      </c>
      <c r="Y19" s="3">
        <v>49</v>
      </c>
    </row>
    <row r="20" spans="1:25" ht="15" thickBot="1" x14ac:dyDescent="0.35">
      <c r="A20" s="115"/>
      <c r="B20" s="4" t="s">
        <v>42</v>
      </c>
      <c r="C20" s="4" t="s">
        <v>65</v>
      </c>
      <c r="D20" s="4">
        <v>2.4</v>
      </c>
      <c r="E20" s="4" t="s">
        <v>47</v>
      </c>
      <c r="F20" s="4" t="s">
        <v>33</v>
      </c>
      <c r="G20" s="4" t="s">
        <v>31</v>
      </c>
      <c r="H20" s="4">
        <v>46</v>
      </c>
      <c r="I20" s="4">
        <v>7.18</v>
      </c>
      <c r="J20" s="4">
        <v>5.71</v>
      </c>
      <c r="K20" s="4">
        <v>420</v>
      </c>
      <c r="L20" s="4" t="s">
        <v>37</v>
      </c>
      <c r="M20" s="4">
        <v>2.68</v>
      </c>
      <c r="N20" s="4">
        <v>3.2</v>
      </c>
      <c r="O20" s="4">
        <v>3.55</v>
      </c>
      <c r="P20" s="4" t="s">
        <v>28</v>
      </c>
      <c r="Q20" s="4" t="s">
        <v>26</v>
      </c>
      <c r="R20" s="4">
        <v>340</v>
      </c>
      <c r="S20" s="4">
        <v>1200</v>
      </c>
      <c r="T20" s="4">
        <v>259</v>
      </c>
      <c r="U20" s="4">
        <v>695</v>
      </c>
      <c r="V20" s="4">
        <v>930</v>
      </c>
      <c r="W20" s="4">
        <v>350</v>
      </c>
      <c r="X20" s="4">
        <v>18</v>
      </c>
      <c r="Y20" s="5">
        <v>49</v>
      </c>
    </row>
    <row r="21" spans="1:25" x14ac:dyDescent="0.3">
      <c r="A21" s="115"/>
      <c r="B21" s="9" t="s">
        <v>40</v>
      </c>
      <c r="C21" s="9" t="s">
        <v>60</v>
      </c>
      <c r="D21" s="9">
        <v>1</v>
      </c>
      <c r="E21" s="9" t="s">
        <v>47</v>
      </c>
      <c r="F21" s="9" t="s">
        <v>33</v>
      </c>
      <c r="G21" s="9" t="s">
        <v>31</v>
      </c>
      <c r="H21" s="9">
        <v>46</v>
      </c>
      <c r="I21" s="9">
        <v>3.44</v>
      </c>
      <c r="J21" s="9">
        <v>2.95</v>
      </c>
      <c r="K21" s="9">
        <v>238</v>
      </c>
      <c r="L21" s="9" t="s">
        <v>37</v>
      </c>
      <c r="M21" s="9">
        <v>1.04</v>
      </c>
      <c r="N21" s="9">
        <v>1.34</v>
      </c>
      <c r="O21" s="9">
        <v>4.3499999999999996</v>
      </c>
      <c r="P21" s="9" t="s">
        <v>28</v>
      </c>
      <c r="Q21" s="9" t="s">
        <v>26</v>
      </c>
      <c r="R21" s="9">
        <v>298</v>
      </c>
      <c r="S21" s="9">
        <v>885</v>
      </c>
      <c r="T21" s="9">
        <v>229</v>
      </c>
      <c r="U21" s="9">
        <v>595</v>
      </c>
      <c r="V21" s="9">
        <v>845</v>
      </c>
      <c r="W21" s="9">
        <v>300</v>
      </c>
      <c r="X21" s="9">
        <v>11</v>
      </c>
      <c r="Y21" s="10">
        <v>34</v>
      </c>
    </row>
    <row r="22" spans="1:25" x14ac:dyDescent="0.3">
      <c r="A22" s="115"/>
      <c r="B22" s="2" t="s">
        <v>40</v>
      </c>
      <c r="C22" s="2" t="s">
        <v>61</v>
      </c>
      <c r="D22" s="2">
        <v>1.5</v>
      </c>
      <c r="E22" s="2" t="s">
        <v>47</v>
      </c>
      <c r="F22" s="2" t="s">
        <v>33</v>
      </c>
      <c r="G22" s="2" t="s">
        <v>31</v>
      </c>
      <c r="H22" s="2">
        <v>46</v>
      </c>
      <c r="I22" s="2">
        <v>4.3099999999999996</v>
      </c>
      <c r="J22" s="2">
        <v>3.83</v>
      </c>
      <c r="K22" s="2">
        <v>246</v>
      </c>
      <c r="L22" s="2" t="s">
        <v>37</v>
      </c>
      <c r="M22" s="2">
        <v>1.77</v>
      </c>
      <c r="N22" s="2">
        <v>1.79</v>
      </c>
      <c r="O22" s="2">
        <v>3.59</v>
      </c>
      <c r="P22" s="2" t="s">
        <v>28</v>
      </c>
      <c r="Q22" s="2" t="s">
        <v>26</v>
      </c>
      <c r="R22" s="2">
        <v>298</v>
      </c>
      <c r="S22" s="2">
        <v>885</v>
      </c>
      <c r="T22" s="2">
        <v>229</v>
      </c>
      <c r="U22" s="2">
        <v>595</v>
      </c>
      <c r="V22" s="2">
        <v>845</v>
      </c>
      <c r="W22" s="2">
        <v>300</v>
      </c>
      <c r="X22" s="2">
        <v>11</v>
      </c>
      <c r="Y22" s="3">
        <v>37</v>
      </c>
    </row>
    <row r="23" spans="1:25" ht="15" thickBot="1" x14ac:dyDescent="0.35">
      <c r="A23" s="116"/>
      <c r="B23" s="11" t="s">
        <v>40</v>
      </c>
      <c r="C23" s="11" t="s">
        <v>62</v>
      </c>
      <c r="D23" s="11">
        <v>2</v>
      </c>
      <c r="E23" s="11" t="s">
        <v>47</v>
      </c>
      <c r="F23" s="11" t="s">
        <v>33</v>
      </c>
      <c r="G23" s="11" t="s">
        <v>31</v>
      </c>
      <c r="H23" s="4">
        <v>46</v>
      </c>
      <c r="I23" s="11">
        <v>6.03</v>
      </c>
      <c r="J23" s="11">
        <v>4.3099999999999996</v>
      </c>
      <c r="K23" s="11">
        <v>283</v>
      </c>
      <c r="L23" s="4" t="s">
        <v>37</v>
      </c>
      <c r="M23" s="4">
        <v>2.2799999999999998</v>
      </c>
      <c r="N23" s="23">
        <v>2.161</v>
      </c>
      <c r="O23" s="11">
        <v>3.51</v>
      </c>
      <c r="P23" s="11" t="s">
        <v>28</v>
      </c>
      <c r="Q23" s="11" t="s">
        <v>26</v>
      </c>
      <c r="R23" s="11">
        <v>310</v>
      </c>
      <c r="S23" s="11">
        <v>1100</v>
      </c>
      <c r="T23" s="11">
        <v>239</v>
      </c>
      <c r="U23" s="11">
        <v>695</v>
      </c>
      <c r="V23" s="11">
        <v>930</v>
      </c>
      <c r="W23" s="11">
        <v>350</v>
      </c>
      <c r="X23" s="11">
        <v>12</v>
      </c>
      <c r="Y23" s="12">
        <v>47</v>
      </c>
    </row>
    <row r="24" spans="1:25" x14ac:dyDescent="0.3">
      <c r="A24" s="114" t="s">
        <v>43</v>
      </c>
      <c r="B24" s="2" t="s">
        <v>39</v>
      </c>
      <c r="C24" s="2" t="s">
        <v>103</v>
      </c>
      <c r="D24" s="2">
        <v>6.4</v>
      </c>
      <c r="E24" s="2" t="s">
        <v>46</v>
      </c>
      <c r="F24" s="2" t="s">
        <v>32</v>
      </c>
      <c r="G24" s="2" t="s">
        <v>30</v>
      </c>
      <c r="H24" s="2">
        <v>46</v>
      </c>
      <c r="I24" s="2">
        <v>17.8</v>
      </c>
      <c r="J24" s="2">
        <v>16.86</v>
      </c>
      <c r="K24" s="2">
        <v>1156</v>
      </c>
      <c r="L24" s="2" t="s">
        <v>35</v>
      </c>
      <c r="M24" s="2">
        <v>7.48</v>
      </c>
      <c r="N24" s="2">
        <v>7.55</v>
      </c>
      <c r="O24" s="2">
        <v>3.45</v>
      </c>
      <c r="P24" s="2">
        <v>105</v>
      </c>
      <c r="Q24" s="2" t="s">
        <v>27</v>
      </c>
      <c r="R24" s="2" t="s">
        <v>28</v>
      </c>
      <c r="S24" s="2" t="s">
        <v>28</v>
      </c>
      <c r="T24" s="2" t="s">
        <v>28</v>
      </c>
      <c r="U24" s="2">
        <v>1350</v>
      </c>
      <c r="V24" s="2">
        <v>1280</v>
      </c>
      <c r="W24" s="2">
        <v>1520</v>
      </c>
      <c r="X24" s="2" t="s">
        <v>28</v>
      </c>
      <c r="Y24" s="3">
        <v>387</v>
      </c>
    </row>
    <row r="25" spans="1:25" x14ac:dyDescent="0.3">
      <c r="A25" s="115"/>
      <c r="B25" s="2" t="s">
        <v>39</v>
      </c>
      <c r="C25" s="2" t="s">
        <v>104</v>
      </c>
      <c r="D25" s="2">
        <v>13.3</v>
      </c>
      <c r="E25" s="2" t="s">
        <v>46</v>
      </c>
      <c r="F25" s="2" t="s">
        <v>32</v>
      </c>
      <c r="G25" s="2" t="s">
        <v>30</v>
      </c>
      <c r="H25" s="2">
        <v>46</v>
      </c>
      <c r="I25" s="2">
        <v>37.200000000000003</v>
      </c>
      <c r="J25" s="2">
        <v>37.200000000000003</v>
      </c>
      <c r="K25" s="2">
        <v>3304</v>
      </c>
      <c r="L25" s="2" t="s">
        <v>35</v>
      </c>
      <c r="M25" s="2">
        <v>15.6</v>
      </c>
      <c r="N25" s="2">
        <v>15.8</v>
      </c>
      <c r="O25" s="2">
        <v>3.42</v>
      </c>
      <c r="P25" s="2">
        <v>105</v>
      </c>
      <c r="Q25" s="2" t="s">
        <v>27</v>
      </c>
      <c r="R25" s="2" t="s">
        <v>28</v>
      </c>
      <c r="S25" s="2" t="s">
        <v>28</v>
      </c>
      <c r="T25" s="2" t="s">
        <v>28</v>
      </c>
      <c r="U25" s="2">
        <v>1690</v>
      </c>
      <c r="V25" s="2">
        <v>1988</v>
      </c>
      <c r="W25" s="2">
        <v>2079</v>
      </c>
      <c r="X25" s="2" t="s">
        <v>28</v>
      </c>
      <c r="Y25" s="3">
        <v>810</v>
      </c>
    </row>
    <row r="26" spans="1:25" x14ac:dyDescent="0.3">
      <c r="A26" s="115"/>
      <c r="B26" s="2" t="s">
        <v>39</v>
      </c>
      <c r="C26" s="2" t="s">
        <v>66</v>
      </c>
      <c r="D26" s="2">
        <v>15</v>
      </c>
      <c r="E26" s="2" t="s">
        <v>46</v>
      </c>
      <c r="F26" s="2" t="s">
        <v>32</v>
      </c>
      <c r="G26" s="2" t="s">
        <v>30</v>
      </c>
      <c r="H26" s="2">
        <v>46</v>
      </c>
      <c r="I26" s="2">
        <v>41.58</v>
      </c>
      <c r="J26" s="2">
        <v>41.58</v>
      </c>
      <c r="K26" s="2">
        <v>3304</v>
      </c>
      <c r="L26" s="2" t="s">
        <v>35</v>
      </c>
      <c r="M26" s="2">
        <v>18.32</v>
      </c>
      <c r="N26" s="2">
        <v>18.5</v>
      </c>
      <c r="O26" s="2">
        <v>3.29</v>
      </c>
      <c r="P26" s="2">
        <v>150</v>
      </c>
      <c r="Q26" s="2" t="s">
        <v>27</v>
      </c>
      <c r="R26" s="2" t="s">
        <v>28</v>
      </c>
      <c r="S26" s="2" t="s">
        <v>28</v>
      </c>
      <c r="T26" s="2" t="s">
        <v>28</v>
      </c>
      <c r="U26" s="2">
        <v>1690</v>
      </c>
      <c r="V26" s="2">
        <v>1965</v>
      </c>
      <c r="W26" s="2">
        <v>1905</v>
      </c>
      <c r="X26" s="2" t="s">
        <v>28</v>
      </c>
      <c r="Y26" s="3">
        <v>840</v>
      </c>
    </row>
    <row r="27" spans="1:25" x14ac:dyDescent="0.3">
      <c r="A27" s="115"/>
      <c r="B27" s="2" t="s">
        <v>39</v>
      </c>
      <c r="C27" s="2" t="s">
        <v>67</v>
      </c>
      <c r="D27" s="2">
        <v>17.5</v>
      </c>
      <c r="E27" s="2" t="s">
        <v>46</v>
      </c>
      <c r="F27" s="2" t="s">
        <v>32</v>
      </c>
      <c r="G27" s="2" t="s">
        <v>30</v>
      </c>
      <c r="H27" s="2">
        <v>46</v>
      </c>
      <c r="I27" s="2">
        <v>49.19</v>
      </c>
      <c r="J27" s="2">
        <v>49.19</v>
      </c>
      <c r="K27" s="2">
        <v>3587</v>
      </c>
      <c r="L27" s="2" t="s">
        <v>35</v>
      </c>
      <c r="M27" s="2">
        <v>21.67</v>
      </c>
      <c r="N27" s="2">
        <v>21.88</v>
      </c>
      <c r="O27" s="2">
        <v>3.31</v>
      </c>
      <c r="P27" s="2">
        <v>200</v>
      </c>
      <c r="Q27" s="2" t="s">
        <v>27</v>
      </c>
      <c r="R27" s="2" t="s">
        <v>28</v>
      </c>
      <c r="S27" s="2" t="s">
        <v>28</v>
      </c>
      <c r="T27" s="2" t="s">
        <v>28</v>
      </c>
      <c r="U27" s="2">
        <v>1650</v>
      </c>
      <c r="V27" s="2">
        <v>2410</v>
      </c>
      <c r="W27" s="2">
        <v>2030</v>
      </c>
      <c r="X27" s="2" t="s">
        <v>28</v>
      </c>
      <c r="Y27" s="3">
        <v>930</v>
      </c>
    </row>
    <row r="28" spans="1:25" x14ac:dyDescent="0.3">
      <c r="A28" s="115"/>
      <c r="B28" s="2" t="s">
        <v>39</v>
      </c>
      <c r="C28" s="2" t="s">
        <v>68</v>
      </c>
      <c r="D28" s="2">
        <v>20</v>
      </c>
      <c r="E28" s="2" t="s">
        <v>46</v>
      </c>
      <c r="F28" s="2" t="s">
        <v>32</v>
      </c>
      <c r="G28" s="2" t="s">
        <v>30</v>
      </c>
      <c r="H28" s="2">
        <v>46</v>
      </c>
      <c r="I28" s="2">
        <v>54.98</v>
      </c>
      <c r="J28" s="2">
        <v>52.4</v>
      </c>
      <c r="K28" s="2">
        <v>3776</v>
      </c>
      <c r="L28" s="2" t="s">
        <v>35</v>
      </c>
      <c r="M28" s="2">
        <v>24.06</v>
      </c>
      <c r="N28" s="2">
        <v>24.3</v>
      </c>
      <c r="O28" s="2">
        <v>3.32</v>
      </c>
      <c r="P28" s="2">
        <v>200</v>
      </c>
      <c r="Q28" s="2" t="s">
        <v>27</v>
      </c>
      <c r="R28" s="2" t="s">
        <v>28</v>
      </c>
      <c r="S28" s="2" t="s">
        <v>28</v>
      </c>
      <c r="T28" s="2" t="s">
        <v>28</v>
      </c>
      <c r="U28" s="2">
        <v>1650</v>
      </c>
      <c r="V28" s="2">
        <v>2410</v>
      </c>
      <c r="W28" s="2">
        <v>2030</v>
      </c>
      <c r="X28" s="2" t="s">
        <v>28</v>
      </c>
      <c r="Y28" s="3">
        <v>940</v>
      </c>
    </row>
    <row r="29" spans="1:25" ht="15" thickBot="1" x14ac:dyDescent="0.35">
      <c r="A29" s="116"/>
      <c r="B29" s="4" t="s">
        <v>39</v>
      </c>
      <c r="C29" s="4" t="s">
        <v>69</v>
      </c>
      <c r="D29" s="4">
        <v>25</v>
      </c>
      <c r="E29" s="4" t="s">
        <v>46</v>
      </c>
      <c r="F29" s="4" t="s">
        <v>32</v>
      </c>
      <c r="G29" s="4" t="s">
        <v>30</v>
      </c>
      <c r="H29" s="4">
        <v>46</v>
      </c>
      <c r="I29" s="4">
        <v>66.040000000000006</v>
      </c>
      <c r="J29" s="4">
        <v>63.84</v>
      </c>
      <c r="K29" s="4">
        <v>4248</v>
      </c>
      <c r="L29" s="4" t="s">
        <v>35</v>
      </c>
      <c r="M29" s="4">
        <v>29.95</v>
      </c>
      <c r="N29" s="4">
        <v>30.25</v>
      </c>
      <c r="O29" s="4">
        <v>3.27</v>
      </c>
      <c r="P29" s="4">
        <v>250</v>
      </c>
      <c r="Q29" s="4" t="s">
        <v>27</v>
      </c>
      <c r="R29" s="4" t="s">
        <v>28</v>
      </c>
      <c r="S29" s="4" t="s">
        <v>28</v>
      </c>
      <c r="T29" s="4" t="s">
        <v>28</v>
      </c>
      <c r="U29" s="4">
        <v>1950</v>
      </c>
      <c r="V29" s="4">
        <v>2410</v>
      </c>
      <c r="W29" s="4">
        <v>2030</v>
      </c>
      <c r="X29" s="4"/>
      <c r="Y29" s="5">
        <v>1090</v>
      </c>
    </row>
    <row r="33" spans="1:1" x14ac:dyDescent="0.3">
      <c r="A33" s="22"/>
    </row>
  </sheetData>
  <mergeCells count="27">
    <mergeCell ref="A24:A29"/>
    <mergeCell ref="A6:A17"/>
    <mergeCell ref="A18:A23"/>
    <mergeCell ref="U3:W3"/>
    <mergeCell ref="I4:I5"/>
    <mergeCell ref="J4:J5"/>
    <mergeCell ref="K4:K5"/>
    <mergeCell ref="D3:D5"/>
    <mergeCell ref="N4:N5"/>
    <mergeCell ref="R4:T4"/>
    <mergeCell ref="P3:P5"/>
    <mergeCell ref="Q3:Q5"/>
    <mergeCell ref="R3:T3"/>
    <mergeCell ref="A3:B4"/>
    <mergeCell ref="I3:J3"/>
    <mergeCell ref="M3:N3"/>
    <mergeCell ref="A2:Y2"/>
    <mergeCell ref="X3:Y3"/>
    <mergeCell ref="C4:C5"/>
    <mergeCell ref="U4:W4"/>
    <mergeCell ref="L3:L5"/>
    <mergeCell ref="O3:O4"/>
    <mergeCell ref="G3:H3"/>
    <mergeCell ref="G4:H4"/>
    <mergeCell ref="E3:E5"/>
    <mergeCell ref="M4:M5"/>
    <mergeCell ref="F3:F5"/>
  </mergeCells>
  <phoneticPr fontId="3" type="noConversion"/>
  <pageMargins left="0.7" right="0.7" top="0.75" bottom="0.75" header="0.3" footer="0.3"/>
  <pageSetup paperSize="9" scale="53" fitToHeight="0" orientation="landscape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D02AE-28F6-46C1-B4F7-44C5F66FEB98}">
  <dimension ref="C2:K31"/>
  <sheetViews>
    <sheetView workbookViewId="0">
      <selection activeCell="M19" sqref="M19"/>
    </sheetView>
  </sheetViews>
  <sheetFormatPr defaultRowHeight="14.4" x14ac:dyDescent="0.3"/>
  <cols>
    <col min="1" max="1" width="9.5546875" customWidth="1"/>
    <col min="2" max="2" width="14.88671875" customWidth="1"/>
    <col min="3" max="3" width="12.33203125" bestFit="1" customWidth="1"/>
    <col min="5" max="5" width="12.109375" bestFit="1" customWidth="1"/>
    <col min="7" max="7" width="11.44140625" bestFit="1" customWidth="1"/>
    <col min="10" max="10" width="28.88671875" bestFit="1" customWidth="1"/>
  </cols>
  <sheetData>
    <row r="2" spans="3:11" x14ac:dyDescent="0.3">
      <c r="C2" t="s">
        <v>84</v>
      </c>
      <c r="D2" s="59">
        <f>'Selection Sheet'!E9</f>
        <v>0</v>
      </c>
      <c r="E2" t="s">
        <v>85</v>
      </c>
      <c r="F2" s="59">
        <f>'Selection Sheet'!F9</f>
        <v>0</v>
      </c>
      <c r="G2" t="s">
        <v>86</v>
      </c>
      <c r="H2" s="59">
        <f>'Selection Sheet'!G9</f>
        <v>0</v>
      </c>
      <c r="I2" s="51"/>
    </row>
    <row r="4" spans="3:11" x14ac:dyDescent="0.3">
      <c r="C4" s="15" t="s">
        <v>76</v>
      </c>
      <c r="D4" s="15" t="s">
        <v>76</v>
      </c>
      <c r="E4" s="15" t="s">
        <v>77</v>
      </c>
      <c r="F4" s="15" t="s">
        <v>77</v>
      </c>
      <c r="G4" s="15" t="s">
        <v>10</v>
      </c>
      <c r="H4" s="15" t="s">
        <v>10</v>
      </c>
      <c r="I4" s="15" t="s">
        <v>90</v>
      </c>
      <c r="J4" s="15" t="s">
        <v>12</v>
      </c>
      <c r="K4" s="13" t="s">
        <v>87</v>
      </c>
    </row>
    <row r="5" spans="3:11" x14ac:dyDescent="0.3">
      <c r="C5" s="19">
        <v>0</v>
      </c>
      <c r="D5" s="60">
        <f>C5/(1-$D$2)</f>
        <v>0</v>
      </c>
      <c r="E5" s="19">
        <v>0</v>
      </c>
      <c r="F5" s="60">
        <f>E5/(1-$F$2)</f>
        <v>0</v>
      </c>
      <c r="G5" s="34">
        <v>0</v>
      </c>
      <c r="H5" s="61">
        <f>G5/(1-$H$2)</f>
        <v>0</v>
      </c>
      <c r="I5" s="52">
        <v>1</v>
      </c>
      <c r="J5" s="2" t="s">
        <v>48</v>
      </c>
      <c r="K5" s="52">
        <v>1</v>
      </c>
    </row>
    <row r="6" spans="3:11" x14ac:dyDescent="0.3">
      <c r="C6" s="19">
        <v>4.25</v>
      </c>
      <c r="D6" s="60">
        <f t="shared" ref="D6:D30" si="0">C6/(1-$D$2)</f>
        <v>4.25</v>
      </c>
      <c r="E6" s="19">
        <v>4.12</v>
      </c>
      <c r="F6" s="60">
        <f t="shared" ref="F6:F30" si="1">E6/(1-$F$2)</f>
        <v>4.12</v>
      </c>
      <c r="G6" s="34">
        <v>256</v>
      </c>
      <c r="H6" s="61">
        <f t="shared" ref="H6:H30" si="2">G6/(1-$H$2)</f>
        <v>256</v>
      </c>
      <c r="I6" s="52">
        <v>2</v>
      </c>
      <c r="J6" s="2" t="s">
        <v>49</v>
      </c>
      <c r="K6" s="52">
        <v>2</v>
      </c>
    </row>
    <row r="7" spans="3:11" x14ac:dyDescent="0.3">
      <c r="C7" s="19">
        <v>5.49</v>
      </c>
      <c r="D7" s="60">
        <f t="shared" si="0"/>
        <v>5.49</v>
      </c>
      <c r="E7" s="19">
        <v>5.0599999999999996</v>
      </c>
      <c r="F7" s="60">
        <f t="shared" si="1"/>
        <v>5.0599999999999996</v>
      </c>
      <c r="G7" s="34">
        <v>304</v>
      </c>
      <c r="H7" s="61">
        <f t="shared" si="2"/>
        <v>304</v>
      </c>
      <c r="I7" s="52">
        <v>3</v>
      </c>
      <c r="J7" s="2" t="s">
        <v>50</v>
      </c>
      <c r="K7" s="52">
        <v>3</v>
      </c>
    </row>
    <row r="8" spans="3:11" x14ac:dyDescent="0.3">
      <c r="C8" s="19">
        <v>6.94</v>
      </c>
      <c r="D8" s="60">
        <f t="shared" si="0"/>
        <v>6.94</v>
      </c>
      <c r="E8" s="19">
        <v>6.31</v>
      </c>
      <c r="F8" s="60">
        <f t="shared" si="1"/>
        <v>6.31</v>
      </c>
      <c r="G8" s="34">
        <v>375</v>
      </c>
      <c r="H8" s="61">
        <f t="shared" si="2"/>
        <v>375</v>
      </c>
      <c r="I8" s="52">
        <v>4</v>
      </c>
      <c r="J8" s="2" t="s">
        <v>51</v>
      </c>
      <c r="K8" s="52">
        <v>4</v>
      </c>
    </row>
    <row r="9" spans="3:11" x14ac:dyDescent="0.3">
      <c r="C9" s="19">
        <v>8.43</v>
      </c>
      <c r="D9" s="60">
        <f t="shared" si="0"/>
        <v>8.43</v>
      </c>
      <c r="E9" s="19">
        <v>8.19</v>
      </c>
      <c r="F9" s="60">
        <f t="shared" si="1"/>
        <v>8.19</v>
      </c>
      <c r="G9" s="34">
        <v>651</v>
      </c>
      <c r="H9" s="61">
        <f t="shared" si="2"/>
        <v>651</v>
      </c>
      <c r="I9" s="52">
        <v>5</v>
      </c>
      <c r="J9" s="2" t="s">
        <v>52</v>
      </c>
      <c r="K9" s="52">
        <v>5</v>
      </c>
    </row>
    <row r="10" spans="3:11" x14ac:dyDescent="0.3">
      <c r="C10" s="19">
        <v>11.47</v>
      </c>
      <c r="D10" s="60">
        <f t="shared" si="0"/>
        <v>11.47</v>
      </c>
      <c r="E10" s="19">
        <v>9.9700000000000006</v>
      </c>
      <c r="F10" s="60">
        <f t="shared" si="1"/>
        <v>9.9700000000000006</v>
      </c>
      <c r="G10" s="34">
        <v>687</v>
      </c>
      <c r="H10" s="61">
        <f t="shared" si="2"/>
        <v>687</v>
      </c>
      <c r="I10" s="52">
        <v>6</v>
      </c>
      <c r="J10" s="2" t="s">
        <v>53</v>
      </c>
      <c r="K10" s="52">
        <v>6</v>
      </c>
    </row>
    <row r="11" spans="3:11" x14ac:dyDescent="0.3">
      <c r="C11" s="19">
        <v>13.51</v>
      </c>
      <c r="D11" s="60">
        <f t="shared" si="0"/>
        <v>13.51</v>
      </c>
      <c r="E11" s="19">
        <v>12.29</v>
      </c>
      <c r="F11" s="60">
        <f t="shared" si="1"/>
        <v>12.29</v>
      </c>
      <c r="G11" s="34">
        <v>827</v>
      </c>
      <c r="H11" s="61">
        <f t="shared" si="2"/>
        <v>827</v>
      </c>
      <c r="I11" s="52">
        <v>7</v>
      </c>
      <c r="J11" s="2" t="s">
        <v>83</v>
      </c>
      <c r="K11" s="52">
        <v>7</v>
      </c>
    </row>
    <row r="12" spans="3:11" x14ac:dyDescent="0.3">
      <c r="C12" s="19">
        <v>0</v>
      </c>
      <c r="D12" s="60">
        <f t="shared" si="0"/>
        <v>0</v>
      </c>
      <c r="E12" s="19">
        <v>0</v>
      </c>
      <c r="F12" s="60">
        <f t="shared" si="1"/>
        <v>0</v>
      </c>
      <c r="G12" s="34">
        <v>0</v>
      </c>
      <c r="H12" s="61">
        <f t="shared" si="2"/>
        <v>0</v>
      </c>
      <c r="I12" s="52">
        <v>8</v>
      </c>
      <c r="J12" s="2" t="s">
        <v>54</v>
      </c>
      <c r="K12" s="52">
        <v>8</v>
      </c>
    </row>
    <row r="13" spans="3:11" x14ac:dyDescent="0.3">
      <c r="C13" s="19">
        <v>4.28</v>
      </c>
      <c r="D13" s="60">
        <f t="shared" si="0"/>
        <v>4.28</v>
      </c>
      <c r="E13" s="19">
        <v>3.94</v>
      </c>
      <c r="F13" s="60">
        <f t="shared" si="1"/>
        <v>3.94</v>
      </c>
      <c r="G13" s="34">
        <v>326</v>
      </c>
      <c r="H13" s="61">
        <f t="shared" si="2"/>
        <v>326</v>
      </c>
      <c r="I13" s="52">
        <v>9</v>
      </c>
      <c r="J13" s="2" t="s">
        <v>55</v>
      </c>
      <c r="K13" s="52">
        <v>9</v>
      </c>
    </row>
    <row r="14" spans="3:11" x14ac:dyDescent="0.3">
      <c r="C14" s="19">
        <v>6.41</v>
      </c>
      <c r="D14" s="60">
        <f t="shared" si="0"/>
        <v>6.41</v>
      </c>
      <c r="E14" s="19">
        <v>4.8099999999999996</v>
      </c>
      <c r="F14" s="60">
        <f t="shared" si="1"/>
        <v>4.8099999999999996</v>
      </c>
      <c r="G14" s="34">
        <v>451</v>
      </c>
      <c r="H14" s="61">
        <f t="shared" si="2"/>
        <v>451</v>
      </c>
      <c r="I14" s="52">
        <v>10</v>
      </c>
      <c r="J14" s="2" t="s">
        <v>56</v>
      </c>
      <c r="K14" s="52">
        <v>10</v>
      </c>
    </row>
    <row r="15" spans="3:11" x14ac:dyDescent="0.3">
      <c r="C15" s="19">
        <v>7.7</v>
      </c>
      <c r="D15" s="60">
        <f t="shared" si="0"/>
        <v>7.7</v>
      </c>
      <c r="E15" s="19">
        <v>6.83</v>
      </c>
      <c r="F15" s="60">
        <f t="shared" si="1"/>
        <v>6.83</v>
      </c>
      <c r="G15" s="34">
        <v>568</v>
      </c>
      <c r="H15" s="61">
        <f t="shared" si="2"/>
        <v>568</v>
      </c>
      <c r="I15" s="52">
        <v>11</v>
      </c>
      <c r="J15" s="2" t="s">
        <v>57</v>
      </c>
      <c r="K15" s="52">
        <v>11</v>
      </c>
    </row>
    <row r="16" spans="3:11" x14ac:dyDescent="0.3">
      <c r="C16" s="19">
        <v>7.73</v>
      </c>
      <c r="D16" s="60">
        <f t="shared" si="0"/>
        <v>7.73</v>
      </c>
      <c r="E16" s="19">
        <v>6.61</v>
      </c>
      <c r="F16" s="60">
        <f t="shared" si="1"/>
        <v>6.61</v>
      </c>
      <c r="G16" s="34">
        <v>568</v>
      </c>
      <c r="H16" s="61">
        <f t="shared" si="2"/>
        <v>568</v>
      </c>
      <c r="I16" s="52">
        <v>12</v>
      </c>
      <c r="J16" s="2" t="s">
        <v>58</v>
      </c>
      <c r="K16" s="52">
        <v>12</v>
      </c>
    </row>
    <row r="17" spans="3:11" x14ac:dyDescent="0.3">
      <c r="C17" s="19">
        <v>10.75</v>
      </c>
      <c r="D17" s="60">
        <f t="shared" si="0"/>
        <v>10.75</v>
      </c>
      <c r="E17" s="19">
        <v>10.45</v>
      </c>
      <c r="F17" s="60">
        <f t="shared" si="1"/>
        <v>10.45</v>
      </c>
      <c r="G17" s="34">
        <v>684</v>
      </c>
      <c r="H17" s="61">
        <f t="shared" si="2"/>
        <v>684</v>
      </c>
      <c r="I17" s="52">
        <v>13</v>
      </c>
      <c r="J17" s="2" t="s">
        <v>59</v>
      </c>
      <c r="K17" s="52">
        <v>13</v>
      </c>
    </row>
    <row r="18" spans="3:11" x14ac:dyDescent="0.3">
      <c r="C18" s="19">
        <v>12.09</v>
      </c>
      <c r="D18" s="60">
        <f t="shared" si="0"/>
        <v>12.09</v>
      </c>
      <c r="E18" s="19">
        <v>11.76</v>
      </c>
      <c r="F18" s="60">
        <f t="shared" si="1"/>
        <v>11.76</v>
      </c>
      <c r="G18" s="34">
        <v>684</v>
      </c>
      <c r="H18" s="61">
        <f t="shared" si="2"/>
        <v>684</v>
      </c>
      <c r="I18" s="52">
        <v>14</v>
      </c>
      <c r="J18" s="2" t="s">
        <v>83</v>
      </c>
      <c r="K18" s="52">
        <v>14</v>
      </c>
    </row>
    <row r="19" spans="3:11" x14ac:dyDescent="0.3">
      <c r="C19" s="19">
        <v>0</v>
      </c>
      <c r="D19" s="60">
        <f t="shared" si="0"/>
        <v>0</v>
      </c>
      <c r="E19" s="19">
        <v>0</v>
      </c>
      <c r="F19" s="60">
        <f t="shared" si="1"/>
        <v>0</v>
      </c>
      <c r="G19" s="34">
        <v>0</v>
      </c>
      <c r="H19" s="61">
        <f t="shared" si="2"/>
        <v>0</v>
      </c>
      <c r="I19" s="52">
        <v>15</v>
      </c>
      <c r="J19" s="2" t="s">
        <v>60</v>
      </c>
      <c r="K19" s="52">
        <v>15</v>
      </c>
    </row>
    <row r="20" spans="3:11" x14ac:dyDescent="0.3">
      <c r="C20" s="19">
        <v>3.45</v>
      </c>
      <c r="D20" s="60">
        <f t="shared" si="0"/>
        <v>3.45</v>
      </c>
      <c r="E20" s="19">
        <v>2.96</v>
      </c>
      <c r="F20" s="60">
        <f t="shared" si="1"/>
        <v>2.96</v>
      </c>
      <c r="G20" s="34">
        <v>239</v>
      </c>
      <c r="H20" s="61">
        <f t="shared" si="2"/>
        <v>239</v>
      </c>
      <c r="I20" s="52">
        <v>16</v>
      </c>
      <c r="J20" s="2" t="s">
        <v>61</v>
      </c>
      <c r="K20" s="52">
        <v>16</v>
      </c>
    </row>
    <row r="21" spans="3:11" x14ac:dyDescent="0.3">
      <c r="C21" s="19">
        <v>4.32</v>
      </c>
      <c r="D21" s="60">
        <f t="shared" si="0"/>
        <v>4.32</v>
      </c>
      <c r="E21" s="19">
        <v>3.84</v>
      </c>
      <c r="F21" s="60">
        <f t="shared" si="1"/>
        <v>3.84</v>
      </c>
      <c r="G21" s="34">
        <v>247</v>
      </c>
      <c r="H21" s="61">
        <f t="shared" si="2"/>
        <v>247</v>
      </c>
      <c r="I21" s="52">
        <v>17</v>
      </c>
      <c r="J21" s="2" t="s">
        <v>62</v>
      </c>
      <c r="K21" s="52">
        <v>17</v>
      </c>
    </row>
    <row r="22" spans="3:11" x14ac:dyDescent="0.3">
      <c r="C22" s="19">
        <v>6.04</v>
      </c>
      <c r="D22" s="60">
        <f t="shared" si="0"/>
        <v>6.04</v>
      </c>
      <c r="E22" s="19">
        <v>4.32</v>
      </c>
      <c r="F22" s="60">
        <f t="shared" si="1"/>
        <v>4.32</v>
      </c>
      <c r="G22" s="34">
        <v>284</v>
      </c>
      <c r="H22" s="61">
        <f t="shared" si="2"/>
        <v>284</v>
      </c>
      <c r="I22" s="52">
        <v>18</v>
      </c>
      <c r="J22" s="2" t="s">
        <v>65</v>
      </c>
      <c r="K22" s="52">
        <v>18</v>
      </c>
    </row>
    <row r="23" spans="3:11" x14ac:dyDescent="0.3">
      <c r="C23" s="19">
        <v>7.19</v>
      </c>
      <c r="D23" s="60">
        <f t="shared" si="0"/>
        <v>7.19</v>
      </c>
      <c r="E23" s="19">
        <v>5.72</v>
      </c>
      <c r="F23" s="60">
        <f t="shared" si="1"/>
        <v>5.72</v>
      </c>
      <c r="G23" s="34">
        <v>421</v>
      </c>
      <c r="H23" s="61">
        <f t="shared" si="2"/>
        <v>421</v>
      </c>
      <c r="I23" s="52">
        <v>19</v>
      </c>
      <c r="J23" s="2" t="s">
        <v>83</v>
      </c>
      <c r="K23" s="52">
        <v>19</v>
      </c>
    </row>
    <row r="24" spans="3:11" x14ac:dyDescent="0.3">
      <c r="C24" s="19">
        <v>0</v>
      </c>
      <c r="D24" s="60">
        <f t="shared" ref="D24:D25" si="3">C24/(1-$D$2)</f>
        <v>0</v>
      </c>
      <c r="E24" s="19">
        <v>0</v>
      </c>
      <c r="F24" s="60">
        <f t="shared" ref="F24:F25" si="4">E24/(1-$F$2)</f>
        <v>0</v>
      </c>
      <c r="G24" s="34">
        <v>0</v>
      </c>
      <c r="H24" s="61">
        <f t="shared" ref="H24:H25" si="5">G24/(1-$H$2)</f>
        <v>0</v>
      </c>
      <c r="I24" s="52">
        <v>20</v>
      </c>
      <c r="J24" s="2" t="s">
        <v>103</v>
      </c>
      <c r="K24" s="52">
        <v>20</v>
      </c>
    </row>
    <row r="25" spans="3:11" x14ac:dyDescent="0.3">
      <c r="C25" s="19">
        <v>17.809999999999999</v>
      </c>
      <c r="D25" s="60">
        <f t="shared" si="3"/>
        <v>17.809999999999999</v>
      </c>
      <c r="E25" s="19">
        <v>16.87</v>
      </c>
      <c r="F25" s="60">
        <f t="shared" si="4"/>
        <v>16.87</v>
      </c>
      <c r="G25" s="34">
        <v>1157</v>
      </c>
      <c r="H25" s="61">
        <f t="shared" si="5"/>
        <v>1157</v>
      </c>
      <c r="I25" s="52">
        <v>21</v>
      </c>
      <c r="J25" s="2" t="s">
        <v>104</v>
      </c>
      <c r="K25" s="52">
        <v>21</v>
      </c>
    </row>
    <row r="26" spans="3:11" x14ac:dyDescent="0.3">
      <c r="C26" s="19">
        <v>37.21</v>
      </c>
      <c r="D26" s="60">
        <f t="shared" si="0"/>
        <v>37.21</v>
      </c>
      <c r="E26" s="19">
        <v>37.21</v>
      </c>
      <c r="F26" s="60">
        <f t="shared" si="1"/>
        <v>37.21</v>
      </c>
      <c r="G26" s="34">
        <v>3305</v>
      </c>
      <c r="H26" s="61">
        <f t="shared" si="2"/>
        <v>3305</v>
      </c>
      <c r="I26" s="52">
        <v>22</v>
      </c>
      <c r="J26" s="2" t="s">
        <v>66</v>
      </c>
      <c r="K26" s="52">
        <v>22</v>
      </c>
    </row>
    <row r="27" spans="3:11" x14ac:dyDescent="0.3">
      <c r="C27" s="19">
        <v>41.59</v>
      </c>
      <c r="D27" s="60">
        <f t="shared" si="0"/>
        <v>41.59</v>
      </c>
      <c r="E27" s="19">
        <v>41.59</v>
      </c>
      <c r="F27" s="60">
        <f t="shared" si="1"/>
        <v>41.59</v>
      </c>
      <c r="G27" s="34">
        <v>3305</v>
      </c>
      <c r="H27" s="61">
        <f t="shared" si="2"/>
        <v>3305</v>
      </c>
      <c r="I27" s="52">
        <v>23</v>
      </c>
      <c r="J27" s="2" t="s">
        <v>67</v>
      </c>
      <c r="K27" s="52">
        <v>23</v>
      </c>
    </row>
    <row r="28" spans="3:11" x14ac:dyDescent="0.3">
      <c r="C28" s="19">
        <v>49.2</v>
      </c>
      <c r="D28" s="60">
        <f t="shared" si="0"/>
        <v>49.2</v>
      </c>
      <c r="E28" s="19">
        <v>49.2</v>
      </c>
      <c r="F28" s="60">
        <f t="shared" si="1"/>
        <v>49.2</v>
      </c>
      <c r="G28" s="34">
        <v>3588</v>
      </c>
      <c r="H28" s="61">
        <f t="shared" si="2"/>
        <v>3588</v>
      </c>
      <c r="I28" s="52">
        <v>24</v>
      </c>
      <c r="J28" s="2" t="s">
        <v>68</v>
      </c>
      <c r="K28" s="52">
        <v>24</v>
      </c>
    </row>
    <row r="29" spans="3:11" x14ac:dyDescent="0.3">
      <c r="C29" s="19">
        <v>54.99</v>
      </c>
      <c r="D29" s="60">
        <f t="shared" si="0"/>
        <v>54.99</v>
      </c>
      <c r="E29" s="19">
        <v>52.41</v>
      </c>
      <c r="F29" s="60">
        <f t="shared" si="1"/>
        <v>52.41</v>
      </c>
      <c r="G29" s="34">
        <v>3777</v>
      </c>
      <c r="H29" s="61">
        <f t="shared" si="2"/>
        <v>3777</v>
      </c>
      <c r="I29" s="52">
        <v>25</v>
      </c>
      <c r="J29" s="2" t="s">
        <v>69</v>
      </c>
      <c r="K29" s="52">
        <v>25</v>
      </c>
    </row>
    <row r="30" spans="3:11" x14ac:dyDescent="0.3">
      <c r="C30" s="19">
        <v>66.05</v>
      </c>
      <c r="D30" s="60">
        <f t="shared" si="0"/>
        <v>66.05</v>
      </c>
      <c r="E30" s="19">
        <v>63.85</v>
      </c>
      <c r="F30" s="60">
        <f t="shared" si="1"/>
        <v>63.85</v>
      </c>
      <c r="G30" s="34">
        <v>4249</v>
      </c>
      <c r="H30" s="61">
        <f t="shared" si="2"/>
        <v>4249</v>
      </c>
      <c r="I30" s="52">
        <v>26</v>
      </c>
      <c r="J30" s="2" t="s">
        <v>83</v>
      </c>
      <c r="K30" s="52">
        <v>26</v>
      </c>
    </row>
    <row r="31" spans="3:11" x14ac:dyDescent="0.3">
      <c r="I31" s="62">
        <v>0</v>
      </c>
      <c r="J31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Selection Sheet</vt:lpstr>
      <vt:lpstr>Data</vt:lpstr>
      <vt:lpstr>DX-Data</vt:lpstr>
      <vt:lpstr>Data!Print_Area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2026-08-05T13:06:26Z</dcterms:modified>
</cp:coreProperties>
</file>