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Test 2\"/>
    </mc:Choice>
  </mc:AlternateContent>
  <xr:revisionPtr revIDLastSave="0" documentId="13_ncr:1_{15B4C447-EE61-4216-B6FE-7A5B725AB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RV Schedule" sheetId="3" r:id="rId1"/>
    <sheet name="Indoor Data" sheetId="4" state="hidden" r:id="rId2"/>
    <sheet name="Outdoor Data" sheetId="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3" l="1"/>
  <c r="X48" i="3"/>
  <c r="G77" i="3"/>
  <c r="F77" i="3"/>
  <c r="E77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AH67" i="3"/>
  <c r="AG67" i="3"/>
  <c r="AF67" i="3"/>
  <c r="AE67" i="3"/>
  <c r="AD67" i="3"/>
  <c r="AC67" i="3"/>
  <c r="AB67" i="3"/>
  <c r="Z67" i="3"/>
  <c r="Y67" i="3"/>
  <c r="X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AH66" i="3"/>
  <c r="AG66" i="3"/>
  <c r="AF66" i="3"/>
  <c r="AE66" i="3"/>
  <c r="AD66" i="3"/>
  <c r="AC66" i="3"/>
  <c r="AB66" i="3"/>
  <c r="Z66" i="3"/>
  <c r="Y66" i="3"/>
  <c r="X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AH65" i="3"/>
  <c r="AG65" i="3"/>
  <c r="AF65" i="3"/>
  <c r="AE65" i="3"/>
  <c r="AD65" i="3"/>
  <c r="AC65" i="3"/>
  <c r="AB65" i="3"/>
  <c r="Z65" i="3"/>
  <c r="Y65" i="3"/>
  <c r="X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AA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AH63" i="3"/>
  <c r="AG63" i="3"/>
  <c r="AF63" i="3"/>
  <c r="AE63" i="3"/>
  <c r="AD63" i="3"/>
  <c r="AC63" i="3"/>
  <c r="AB63" i="3"/>
  <c r="Z63" i="3"/>
  <c r="Y63" i="3"/>
  <c r="X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I17" i="3"/>
  <c r="I18" i="3"/>
  <c r="I19" i="3"/>
  <c r="I20" i="3"/>
  <c r="I21" i="3"/>
  <c r="I22" i="3"/>
  <c r="I34" i="3"/>
  <c r="I35" i="3"/>
  <c r="I36" i="3"/>
  <c r="I37" i="3"/>
  <c r="I38" i="3"/>
  <c r="I39" i="3"/>
  <c r="I40" i="3"/>
  <c r="I49" i="3"/>
  <c r="I50" i="3"/>
  <c r="I51" i="3"/>
  <c r="I52" i="3"/>
  <c r="I53" i="3"/>
  <c r="I54" i="3"/>
  <c r="I55" i="3"/>
  <c r="I56" i="3"/>
  <c r="I57" i="3"/>
  <c r="G60" i="3"/>
  <c r="F60" i="3"/>
  <c r="E60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U57" i="3"/>
  <c r="T57" i="3"/>
  <c r="S57" i="3"/>
  <c r="R57" i="3"/>
  <c r="Q57" i="3"/>
  <c r="P57" i="3"/>
  <c r="O57" i="3"/>
  <c r="N57" i="3"/>
  <c r="M57" i="3"/>
  <c r="L57" i="3"/>
  <c r="K57" i="3"/>
  <c r="J57" i="3"/>
  <c r="U56" i="3"/>
  <c r="T56" i="3"/>
  <c r="S56" i="3"/>
  <c r="R56" i="3"/>
  <c r="Q56" i="3"/>
  <c r="P56" i="3"/>
  <c r="O56" i="3"/>
  <c r="N56" i="3"/>
  <c r="M56" i="3"/>
  <c r="L56" i="3"/>
  <c r="K56" i="3"/>
  <c r="J56" i="3"/>
  <c r="U55" i="3"/>
  <c r="T55" i="3"/>
  <c r="S55" i="3"/>
  <c r="R55" i="3"/>
  <c r="Q55" i="3"/>
  <c r="P55" i="3"/>
  <c r="O55" i="3"/>
  <c r="N55" i="3"/>
  <c r="M55" i="3"/>
  <c r="L55" i="3"/>
  <c r="K55" i="3"/>
  <c r="J55" i="3"/>
  <c r="U54" i="3"/>
  <c r="T54" i="3"/>
  <c r="S54" i="3"/>
  <c r="R54" i="3"/>
  <c r="Q54" i="3"/>
  <c r="P54" i="3"/>
  <c r="O54" i="3"/>
  <c r="N54" i="3"/>
  <c r="M54" i="3"/>
  <c r="L54" i="3"/>
  <c r="K54" i="3"/>
  <c r="J54" i="3"/>
  <c r="U53" i="3"/>
  <c r="T53" i="3"/>
  <c r="S53" i="3"/>
  <c r="R53" i="3"/>
  <c r="Q53" i="3"/>
  <c r="P53" i="3"/>
  <c r="O53" i="3"/>
  <c r="N53" i="3"/>
  <c r="M53" i="3"/>
  <c r="L53" i="3"/>
  <c r="K53" i="3"/>
  <c r="J53" i="3"/>
  <c r="U52" i="3"/>
  <c r="T52" i="3"/>
  <c r="S52" i="3"/>
  <c r="R52" i="3"/>
  <c r="Q52" i="3"/>
  <c r="P52" i="3"/>
  <c r="O52" i="3"/>
  <c r="N52" i="3"/>
  <c r="M52" i="3"/>
  <c r="L52" i="3"/>
  <c r="K52" i="3"/>
  <c r="J52" i="3"/>
  <c r="U51" i="3"/>
  <c r="T51" i="3"/>
  <c r="S51" i="3"/>
  <c r="R51" i="3"/>
  <c r="Q51" i="3"/>
  <c r="P51" i="3"/>
  <c r="O51" i="3"/>
  <c r="N51" i="3"/>
  <c r="M51" i="3"/>
  <c r="L51" i="3"/>
  <c r="K51" i="3"/>
  <c r="J51" i="3"/>
  <c r="AH50" i="3"/>
  <c r="AG50" i="3"/>
  <c r="AF50" i="3"/>
  <c r="AE50" i="3"/>
  <c r="AD50" i="3"/>
  <c r="AC50" i="3"/>
  <c r="AB50" i="3"/>
  <c r="Z50" i="3"/>
  <c r="Y50" i="3"/>
  <c r="X50" i="3"/>
  <c r="U50" i="3"/>
  <c r="T50" i="3"/>
  <c r="S50" i="3"/>
  <c r="R50" i="3"/>
  <c r="Q50" i="3"/>
  <c r="P50" i="3"/>
  <c r="O50" i="3"/>
  <c r="N50" i="3"/>
  <c r="M50" i="3"/>
  <c r="L50" i="3"/>
  <c r="K50" i="3"/>
  <c r="J50" i="3"/>
  <c r="AH49" i="3"/>
  <c r="AG49" i="3"/>
  <c r="AF49" i="3"/>
  <c r="AE49" i="3"/>
  <c r="AD49" i="3"/>
  <c r="AC49" i="3"/>
  <c r="AB49" i="3"/>
  <c r="U49" i="3"/>
  <c r="T49" i="3"/>
  <c r="S49" i="3"/>
  <c r="R49" i="3"/>
  <c r="Q49" i="3"/>
  <c r="P49" i="3"/>
  <c r="O49" i="3"/>
  <c r="N49" i="3"/>
  <c r="M49" i="3"/>
  <c r="L49" i="3"/>
  <c r="K49" i="3"/>
  <c r="J49" i="3"/>
  <c r="AH48" i="3"/>
  <c r="AG48" i="3"/>
  <c r="AF48" i="3"/>
  <c r="AE48" i="3"/>
  <c r="AD48" i="3"/>
  <c r="AC48" i="3"/>
  <c r="AB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AH46" i="3"/>
  <c r="AG46" i="3"/>
  <c r="AF46" i="3"/>
  <c r="AE46" i="3"/>
  <c r="AD46" i="3"/>
  <c r="AC46" i="3"/>
  <c r="AB46" i="3"/>
  <c r="AA46" i="3"/>
  <c r="Z46" i="3"/>
  <c r="Y46" i="3"/>
  <c r="X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G43" i="3"/>
  <c r="F43" i="3"/>
  <c r="E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U40" i="3"/>
  <c r="T40" i="3"/>
  <c r="S40" i="3"/>
  <c r="R40" i="3"/>
  <c r="Q40" i="3"/>
  <c r="P40" i="3"/>
  <c r="O40" i="3"/>
  <c r="N40" i="3"/>
  <c r="M40" i="3"/>
  <c r="L40" i="3"/>
  <c r="K40" i="3"/>
  <c r="J40" i="3"/>
  <c r="U39" i="3"/>
  <c r="T39" i="3"/>
  <c r="S39" i="3"/>
  <c r="R39" i="3"/>
  <c r="Q39" i="3"/>
  <c r="P39" i="3"/>
  <c r="O39" i="3"/>
  <c r="N39" i="3"/>
  <c r="M39" i="3"/>
  <c r="L39" i="3"/>
  <c r="K39" i="3"/>
  <c r="J39" i="3"/>
  <c r="U38" i="3"/>
  <c r="T38" i="3"/>
  <c r="S38" i="3"/>
  <c r="R38" i="3"/>
  <c r="Q38" i="3"/>
  <c r="P38" i="3"/>
  <c r="O38" i="3"/>
  <c r="N38" i="3"/>
  <c r="M38" i="3"/>
  <c r="L38" i="3"/>
  <c r="K38" i="3"/>
  <c r="J38" i="3"/>
  <c r="U37" i="3"/>
  <c r="T37" i="3"/>
  <c r="S37" i="3"/>
  <c r="R37" i="3"/>
  <c r="Q37" i="3"/>
  <c r="P37" i="3"/>
  <c r="O37" i="3"/>
  <c r="N37" i="3"/>
  <c r="M37" i="3"/>
  <c r="L37" i="3"/>
  <c r="K37" i="3"/>
  <c r="J37" i="3"/>
  <c r="U36" i="3"/>
  <c r="T36" i="3"/>
  <c r="S36" i="3"/>
  <c r="R36" i="3"/>
  <c r="Q36" i="3"/>
  <c r="P36" i="3"/>
  <c r="O36" i="3"/>
  <c r="N36" i="3"/>
  <c r="M36" i="3"/>
  <c r="L36" i="3"/>
  <c r="K36" i="3"/>
  <c r="J36" i="3"/>
  <c r="U35" i="3"/>
  <c r="T35" i="3"/>
  <c r="S35" i="3"/>
  <c r="R35" i="3"/>
  <c r="Q35" i="3"/>
  <c r="P35" i="3"/>
  <c r="O35" i="3"/>
  <c r="N35" i="3"/>
  <c r="M35" i="3"/>
  <c r="L35" i="3"/>
  <c r="K35" i="3"/>
  <c r="J35" i="3"/>
  <c r="U34" i="3"/>
  <c r="T34" i="3"/>
  <c r="S34" i="3"/>
  <c r="R34" i="3"/>
  <c r="Q34" i="3"/>
  <c r="P34" i="3"/>
  <c r="O34" i="3"/>
  <c r="N34" i="3"/>
  <c r="M34" i="3"/>
  <c r="L34" i="3"/>
  <c r="K34" i="3"/>
  <c r="J34" i="3"/>
  <c r="AH33" i="3"/>
  <c r="AG33" i="3"/>
  <c r="AF33" i="3"/>
  <c r="AE33" i="3"/>
  <c r="AD33" i="3"/>
  <c r="AC33" i="3"/>
  <c r="AB33" i="3"/>
  <c r="Z33" i="3"/>
  <c r="Y33" i="3"/>
  <c r="X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AH32" i="3"/>
  <c r="AG32" i="3"/>
  <c r="AF32" i="3"/>
  <c r="AE32" i="3"/>
  <c r="AD32" i="3"/>
  <c r="AC32" i="3"/>
  <c r="AB32" i="3"/>
  <c r="X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AH31" i="3"/>
  <c r="AG31" i="3"/>
  <c r="AF31" i="3"/>
  <c r="AE31" i="3"/>
  <c r="AD31" i="3"/>
  <c r="AC31" i="3"/>
  <c r="AB31" i="3"/>
  <c r="X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AH29" i="3"/>
  <c r="AG29" i="3"/>
  <c r="AF29" i="3"/>
  <c r="AE29" i="3"/>
  <c r="AD29" i="3"/>
  <c r="AC29" i="3"/>
  <c r="AB29" i="3"/>
  <c r="AA29" i="3"/>
  <c r="Z29" i="3"/>
  <c r="Y29" i="3"/>
  <c r="X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AD14" i="3"/>
  <c r="AB14" i="3"/>
  <c r="X16" i="3"/>
  <c r="X15" i="3"/>
  <c r="X12" i="3"/>
  <c r="AB15" i="3"/>
  <c r="AC15" i="3"/>
  <c r="AD15" i="3"/>
  <c r="AE15" i="3"/>
  <c r="AF15" i="3"/>
  <c r="AG15" i="3"/>
  <c r="AH15" i="3"/>
  <c r="AB16" i="3"/>
  <c r="AC16" i="3"/>
  <c r="AD16" i="3"/>
  <c r="AE16" i="3"/>
  <c r="AF16" i="3"/>
  <c r="AG16" i="3"/>
  <c r="AH16" i="3"/>
  <c r="AG12" i="3"/>
  <c r="AF12" i="3"/>
  <c r="AE12" i="3"/>
  <c r="AD12" i="3"/>
  <c r="AC12" i="3"/>
  <c r="AB12" i="3"/>
  <c r="Z12" i="3"/>
  <c r="Y12" i="3"/>
  <c r="A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J17" i="3"/>
  <c r="K17" i="3"/>
  <c r="L17" i="3"/>
  <c r="M17" i="3"/>
  <c r="N17" i="3"/>
  <c r="O17" i="3"/>
  <c r="P17" i="3"/>
  <c r="Q17" i="3"/>
  <c r="R17" i="3"/>
  <c r="S17" i="3"/>
  <c r="T17" i="3"/>
  <c r="U17" i="3"/>
  <c r="J18" i="3"/>
  <c r="K18" i="3"/>
  <c r="L18" i="3"/>
  <c r="M18" i="3"/>
  <c r="N18" i="3"/>
  <c r="O18" i="3"/>
  <c r="P18" i="3"/>
  <c r="Q18" i="3"/>
  <c r="R18" i="3"/>
  <c r="S18" i="3"/>
  <c r="T18" i="3"/>
  <c r="U18" i="3"/>
  <c r="J19" i="3"/>
  <c r="K19" i="3"/>
  <c r="L19" i="3"/>
  <c r="M19" i="3"/>
  <c r="N19" i="3"/>
  <c r="O19" i="3"/>
  <c r="P19" i="3"/>
  <c r="Q19" i="3"/>
  <c r="R19" i="3"/>
  <c r="S19" i="3"/>
  <c r="T19" i="3"/>
  <c r="U19" i="3"/>
  <c r="J20" i="3"/>
  <c r="K20" i="3"/>
  <c r="L20" i="3"/>
  <c r="M20" i="3"/>
  <c r="N20" i="3"/>
  <c r="O20" i="3"/>
  <c r="P20" i="3"/>
  <c r="Q20" i="3"/>
  <c r="R20" i="3"/>
  <c r="S20" i="3"/>
  <c r="T20" i="3"/>
  <c r="U20" i="3"/>
  <c r="J21" i="3"/>
  <c r="K21" i="3"/>
  <c r="L21" i="3"/>
  <c r="M21" i="3"/>
  <c r="N21" i="3"/>
  <c r="O21" i="3"/>
  <c r="P21" i="3"/>
  <c r="Q21" i="3"/>
  <c r="R21" i="3"/>
  <c r="S21" i="3"/>
  <c r="T21" i="3"/>
  <c r="U21" i="3"/>
  <c r="J22" i="3"/>
  <c r="K22" i="3"/>
  <c r="L22" i="3"/>
  <c r="M22" i="3"/>
  <c r="N22" i="3"/>
  <c r="O22" i="3"/>
  <c r="P22" i="3"/>
  <c r="Q22" i="3"/>
  <c r="R22" i="3"/>
  <c r="S22" i="3"/>
  <c r="T22" i="3"/>
  <c r="U22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I11" i="3"/>
  <c r="U11" i="3"/>
  <c r="T11" i="3"/>
  <c r="S11" i="3"/>
  <c r="R11" i="3"/>
  <c r="Q11" i="3"/>
  <c r="P11" i="3"/>
  <c r="O11" i="3"/>
  <c r="N11" i="3"/>
  <c r="M11" i="3"/>
  <c r="L11" i="3"/>
  <c r="K11" i="3"/>
  <c r="J11" i="3"/>
  <c r="AB77" i="3" l="1"/>
  <c r="X77" i="3"/>
  <c r="O60" i="3"/>
  <c r="N77" i="3"/>
  <c r="M77" i="3"/>
  <c r="O77" i="3"/>
  <c r="P77" i="3"/>
  <c r="I77" i="3"/>
  <c r="I43" i="3"/>
  <c r="AK31" i="3" s="1"/>
  <c r="M43" i="3"/>
  <c r="N43" i="3"/>
  <c r="O43" i="3"/>
  <c r="P43" i="3"/>
  <c r="I60" i="3"/>
  <c r="M60" i="3"/>
  <c r="N60" i="3"/>
  <c r="P60" i="3"/>
  <c r="X60" i="3"/>
  <c r="AB60" i="3"/>
  <c r="AB43" i="3"/>
  <c r="X43" i="3"/>
  <c r="AA30" i="3" s="1"/>
  <c r="AC14" i="3"/>
  <c r="AH14" i="3"/>
  <c r="AG14" i="3"/>
  <c r="AF14" i="3"/>
  <c r="X14" i="3"/>
  <c r="X26" i="3" s="1"/>
  <c r="AE14" i="3"/>
  <c r="I26" i="3"/>
  <c r="AK14" i="3" s="1"/>
  <c r="AA63" i="3" l="1"/>
  <c r="AK65" i="3"/>
  <c r="AA47" i="3"/>
  <c r="AK48" i="3"/>
  <c r="AA13" i="3"/>
  <c r="AA12" i="3"/>
  <c r="AB26" i="3"/>
  <c r="P26" i="3"/>
  <c r="O26" i="3"/>
  <c r="G26" i="3"/>
  <c r="N26" i="3" l="1"/>
  <c r="M26" i="3"/>
  <c r="F26" i="3"/>
  <c r="E26" i="3"/>
</calcChain>
</file>

<file path=xl/sharedStrings.xml><?xml version="1.0" encoding="utf-8"?>
<sst xmlns="http://schemas.openxmlformats.org/spreadsheetml/2006/main" count="612" uniqueCount="235">
  <si>
    <t>Name</t>
  </si>
  <si>
    <t>Location</t>
  </si>
  <si>
    <t>FCU</t>
  </si>
  <si>
    <t>Rq TC</t>
  </si>
  <si>
    <t>Rq SC</t>
  </si>
  <si>
    <t>Type</t>
  </si>
  <si>
    <t>Max TC</t>
  </si>
  <si>
    <t>Max SC</t>
  </si>
  <si>
    <t>PIC</t>
  </si>
  <si>
    <t>Sound</t>
  </si>
  <si>
    <t>PS</t>
  </si>
  <si>
    <t>MCA</t>
  </si>
  <si>
    <t>WxHxD</t>
  </si>
  <si>
    <t>Weight</t>
  </si>
  <si>
    <t>Model</t>
  </si>
  <si>
    <t>Cooling</t>
  </si>
  <si>
    <t>PI ESMA</t>
  </si>
  <si>
    <t>MOP</t>
  </si>
  <si>
    <t>RLA</t>
  </si>
  <si>
    <t>kW</t>
  </si>
  <si>
    <t>l/s</t>
  </si>
  <si>
    <t>°C</t>
  </si>
  <si>
    <t>dBA</t>
  </si>
  <si>
    <t>A</t>
  </si>
  <si>
    <t>mm</t>
  </si>
  <si>
    <t>kg</t>
  </si>
  <si>
    <t>CC</t>
  </si>
  <si>
    <t>(DBT/WBT)</t>
  </si>
  <si>
    <t>kw</t>
  </si>
  <si>
    <t>FXSQ125A</t>
  </si>
  <si>
    <t>Ducted</t>
  </si>
  <si>
    <t>33 - 39</t>
  </si>
  <si>
    <t>220V 1ph</t>
  </si>
  <si>
    <t>1,400 x 245 x 800</t>
  </si>
  <si>
    <t>FXSQ100A</t>
  </si>
  <si>
    <t>31 - 36</t>
  </si>
  <si>
    <t>FXSQ140A</t>
  </si>
  <si>
    <t>34 - 42</t>
  </si>
  <si>
    <t>1,550 x 245 x 800</t>
  </si>
  <si>
    <t>400V 3Nph</t>
  </si>
  <si>
    <t>1,240 x 1,685 x 765</t>
  </si>
  <si>
    <t>B</t>
  </si>
  <si>
    <t>C</t>
  </si>
  <si>
    <t>FXSQ63A</t>
  </si>
  <si>
    <t>27 - 33</t>
  </si>
  <si>
    <t>1,000 x 245 x 800</t>
  </si>
  <si>
    <t>FXSQ80A</t>
  </si>
  <si>
    <t>29 - 35</t>
  </si>
  <si>
    <r>
      <rPr>
        <b/>
        <sz val="11"/>
        <rFont val="Calibri"/>
        <family val="2"/>
        <scheme val="minor"/>
      </rPr>
      <t>Air Flow
Rate</t>
    </r>
  </si>
  <si>
    <t>CR</t>
  </si>
  <si>
    <t xml:space="preserve">Project: </t>
  </si>
  <si>
    <t>HVAC Contr:</t>
  </si>
  <si>
    <t>930 x 1,685 x 765</t>
  </si>
  <si>
    <t xml:space="preserve">VRV Schedule </t>
  </si>
  <si>
    <t>Ambient - On  Coil Temperature</t>
  </si>
  <si>
    <t>System</t>
  </si>
  <si>
    <t>SPECIFIED</t>
  </si>
  <si>
    <t>Nominal Index</t>
  </si>
  <si>
    <t>FXSQ15A</t>
  </si>
  <si>
    <t>FXSQ20A</t>
  </si>
  <si>
    <t>FXSQ25A</t>
  </si>
  <si>
    <t>FXSQ32A</t>
  </si>
  <si>
    <t>FXSQ40A</t>
  </si>
  <si>
    <t>FXSQ50A</t>
  </si>
  <si>
    <t>25 - 30</t>
  </si>
  <si>
    <t>26 - 26</t>
  </si>
  <si>
    <t>550 x 245 x 800</t>
  </si>
  <si>
    <t>700 x 245 x 800</t>
  </si>
  <si>
    <t>Country of Origin</t>
  </si>
  <si>
    <t>Czech Republic</t>
  </si>
  <si>
    <t>46 - 24.4/17.2</t>
  </si>
  <si>
    <t>FXMQ40PBV1</t>
  </si>
  <si>
    <t>FXMQ50PBV1</t>
  </si>
  <si>
    <t>FXMQ63PBV1</t>
  </si>
  <si>
    <t>FXMQ80PBV1</t>
  </si>
  <si>
    <t>FXMQ100PBV1</t>
  </si>
  <si>
    <t>FXMQ125PBV1</t>
  </si>
  <si>
    <t>FXMQ140PBV1</t>
  </si>
  <si>
    <t>FXMQ170NVE6</t>
  </si>
  <si>
    <t>FXMQ200NVE6</t>
  </si>
  <si>
    <t>FXMQ250NVE6</t>
  </si>
  <si>
    <t>35 - 39</t>
  </si>
  <si>
    <t>230V 1ph</t>
  </si>
  <si>
    <t>37 - 41</t>
  </si>
  <si>
    <t>38 - 42</t>
  </si>
  <si>
    <t>39 - 43</t>
  </si>
  <si>
    <t>40 - 44</t>
  </si>
  <si>
    <t>43 - 46</t>
  </si>
  <si>
    <t>42 - 45</t>
  </si>
  <si>
    <t>45 - 47</t>
  </si>
  <si>
    <t>47 - 49</t>
  </si>
  <si>
    <t>700 x 300 x 700</t>
  </si>
  <si>
    <t>1,000 x 300 x 700</t>
  </si>
  <si>
    <t>1,400 x 300 x 700</t>
  </si>
  <si>
    <t>1,190 x 440 x 1,090</t>
  </si>
  <si>
    <t>1,490 x 440 x 1,090</t>
  </si>
  <si>
    <t>India</t>
  </si>
  <si>
    <t>FXAQ15A</t>
  </si>
  <si>
    <t>FXAQ20A</t>
  </si>
  <si>
    <t>FXAQ25A</t>
  </si>
  <si>
    <t>FXAQ32A</t>
  </si>
  <si>
    <t>FXAQ40A</t>
  </si>
  <si>
    <t>FXAQ50A</t>
  </si>
  <si>
    <t>FXAQ63A</t>
  </si>
  <si>
    <t>FXAQ20ARVM</t>
  </si>
  <si>
    <t>FXAQ25ARVM</t>
  </si>
  <si>
    <t>FXAQ32ARVM</t>
  </si>
  <si>
    <t>FXAQ40ARVM</t>
  </si>
  <si>
    <t>FXAQ50ARVM</t>
  </si>
  <si>
    <t>FXAQ63ARVM</t>
  </si>
  <si>
    <t>Decorative</t>
  </si>
  <si>
    <t>29 - 32</t>
  </si>
  <si>
    <t>29 - 33</t>
  </si>
  <si>
    <t>29 - 38</t>
  </si>
  <si>
    <t>34 - 37</t>
  </si>
  <si>
    <t>36 - 41</t>
  </si>
  <si>
    <t>39 - 47</t>
  </si>
  <si>
    <t>31 - 35</t>
  </si>
  <si>
    <t>31 - 38</t>
  </si>
  <si>
    <t>34 - 39</t>
  </si>
  <si>
    <t>37 - 42</t>
  </si>
  <si>
    <t>41 - 47</t>
  </si>
  <si>
    <t>795 x 290 x 266</t>
  </si>
  <si>
    <t>1,050 x 290 x 269</t>
  </si>
  <si>
    <t>929 x 298 x 258</t>
  </si>
  <si>
    <t>Thailand</t>
  </si>
  <si>
    <t>FXFQ20B</t>
  </si>
  <si>
    <t>FXFQ25B</t>
  </si>
  <si>
    <t>FXFQ32B</t>
  </si>
  <si>
    <t>FXFQ40B</t>
  </si>
  <si>
    <t>FXFQ50B</t>
  </si>
  <si>
    <t>FXFQ63B</t>
  </si>
  <si>
    <t>FXFQ80B</t>
  </si>
  <si>
    <t>FXFQ100B</t>
  </si>
  <si>
    <t>FXFQ125B</t>
  </si>
  <si>
    <t>FXFSQ25ARV1</t>
  </si>
  <si>
    <t>FXFSQ32ARV1</t>
  </si>
  <si>
    <t>FXFSQ40ARV1</t>
  </si>
  <si>
    <t>FXFSQ50ARV1</t>
  </si>
  <si>
    <t>FXFSQ63ARV1</t>
  </si>
  <si>
    <t>FXFSQ80ARV1</t>
  </si>
  <si>
    <t>FXFSQ100ARV1</t>
  </si>
  <si>
    <t>FXFSQ125ARV1</t>
  </si>
  <si>
    <t>FXFSQ140ARV1</t>
  </si>
  <si>
    <t>Cassette</t>
  </si>
  <si>
    <t>28 - 31</t>
  </si>
  <si>
    <t>30 - 35</t>
  </si>
  <si>
    <t>30 - 38</t>
  </si>
  <si>
    <t>30 - 43</t>
  </si>
  <si>
    <t>36 - 45</t>
  </si>
  <si>
    <t>27 - 30</t>
  </si>
  <si>
    <t>27 - 35</t>
  </si>
  <si>
    <t>27 - 38</t>
  </si>
  <si>
    <t>28 - 38</t>
  </si>
  <si>
    <t>31 - 39</t>
  </si>
  <si>
    <t>33 - 44</t>
  </si>
  <si>
    <t>35 - 45</t>
  </si>
  <si>
    <t>35 - 46</t>
  </si>
  <si>
    <t>840 x 204 x 840</t>
  </si>
  <si>
    <t>840 x 246 x 840</t>
  </si>
  <si>
    <t>840 x 288 x 840</t>
  </si>
  <si>
    <t>840 x 256 x 840</t>
  </si>
  <si>
    <t>840 x 298 x 840</t>
  </si>
  <si>
    <t>RXQ6ARYFK</t>
  </si>
  <si>
    <t>RXQ8ARYFK</t>
  </si>
  <si>
    <t>RXQ10ARYFK</t>
  </si>
  <si>
    <t>RXQ12ARYFK</t>
  </si>
  <si>
    <t>RXQ14ARYFK</t>
  </si>
  <si>
    <t>RXQ16ARYFK</t>
  </si>
  <si>
    <t>RXYTQ8U5YF</t>
  </si>
  <si>
    <t>RXYTQ10U5YF</t>
  </si>
  <si>
    <t>RXYTQ12U5YF</t>
  </si>
  <si>
    <t>RXYTQ14U5YF</t>
  </si>
  <si>
    <t>RXYTQ16U5YF</t>
  </si>
  <si>
    <t>Ambient Temp</t>
  </si>
  <si>
    <t>PROPOSED INDOOR UNITS</t>
  </si>
  <si>
    <t>PROPOSED OUTDOOR UNITS</t>
  </si>
  <si>
    <t>Nominal index</t>
  </si>
  <si>
    <t>ODU Single</t>
  </si>
  <si>
    <t>ODU Multiple</t>
  </si>
  <si>
    <t>PI ESMA (Kw)</t>
  </si>
  <si>
    <t>930 x 1,657 x 765</t>
  </si>
  <si>
    <t>1,240 x 1,657 x 765</t>
  </si>
  <si>
    <t>-</t>
  </si>
  <si>
    <t>VRV-4</t>
  </si>
  <si>
    <t>Expected CR</t>
  </si>
  <si>
    <t>Required ODU</t>
  </si>
  <si>
    <t>hp</t>
  </si>
  <si>
    <t>GF-01</t>
  </si>
  <si>
    <t>BEDROOM 01</t>
  </si>
  <si>
    <t>GF-02</t>
  </si>
  <si>
    <t>BEDROOM 02</t>
  </si>
  <si>
    <t>GF-03</t>
  </si>
  <si>
    <t>BEDROOM 03</t>
  </si>
  <si>
    <t>GF-04</t>
  </si>
  <si>
    <t>BEDROOM 04</t>
  </si>
  <si>
    <t>GF-05</t>
  </si>
  <si>
    <t>BEDROOM 05</t>
  </si>
  <si>
    <t>GF-06</t>
  </si>
  <si>
    <t>MAIDS ROOM</t>
  </si>
  <si>
    <t>GF-07</t>
  </si>
  <si>
    <t>KITCHEN</t>
  </si>
  <si>
    <t>GF-08</t>
  </si>
  <si>
    <t>STORE 1,2 / LIFT LOBBY 01</t>
  </si>
  <si>
    <t>GF-10</t>
  </si>
  <si>
    <t>CORRIDOR / LIFT LOBBY 02</t>
  </si>
  <si>
    <t>RXQ18ANRYFK</t>
  </si>
  <si>
    <t>VRV-GF</t>
  </si>
  <si>
    <t>VRV-FF</t>
  </si>
  <si>
    <t>RXQ20ANRYFK</t>
  </si>
  <si>
    <t>FF-01</t>
  </si>
  <si>
    <t>KIDS ROOM</t>
  </si>
  <si>
    <t>FF-02</t>
  </si>
  <si>
    <t>SHOW KITCHEN / DINING</t>
  </si>
  <si>
    <t>FF-03</t>
  </si>
  <si>
    <t>SITTING AREA A</t>
  </si>
  <si>
    <t>FF-04</t>
  </si>
  <si>
    <t>SITTING AREA B</t>
  </si>
  <si>
    <t>FF-05</t>
  </si>
  <si>
    <t>MASSAGE / SALOON</t>
  </si>
  <si>
    <t>FF-06</t>
  </si>
  <si>
    <t>LOBBY / LINEN AREA</t>
  </si>
  <si>
    <t>VRV-SF</t>
  </si>
  <si>
    <t>SF-01</t>
  </si>
  <si>
    <t>MASTER BEDROOM</t>
  </si>
  <si>
    <t>SF-02</t>
  </si>
  <si>
    <t>MASTER DRESS</t>
  </si>
  <si>
    <t>SF-03</t>
  </si>
  <si>
    <t>MASTEROFFICE / PANTRY</t>
  </si>
  <si>
    <t>SF-04</t>
  </si>
  <si>
    <t xml:space="preserve">GYM </t>
  </si>
  <si>
    <t>SF-05</t>
  </si>
  <si>
    <t>DRESSING ROOM</t>
  </si>
  <si>
    <t>{Project_Name}</t>
  </si>
  <si>
    <t>{Customer_Name}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</si>
</sst>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6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" fontId="2" fillId="0" borderId="9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shrinkToFit="1"/>
    </xf>
    <xf numFmtId="1" fontId="2" fillId="0" borderId="27" xfId="0" applyNumberFormat="1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wrapText="1"/>
    </xf>
    <xf numFmtId="164" fontId="2" fillId="0" borderId="29" xfId="0" applyNumberFormat="1" applyFont="1" applyBorder="1" applyAlignment="1">
      <alignment horizontal="center" vertical="center" shrinkToFit="1"/>
    </xf>
    <xf numFmtId="1" fontId="2" fillId="0" borderId="30" xfId="0" applyNumberFormat="1" applyFont="1" applyBorder="1" applyAlignment="1">
      <alignment horizontal="center" vertical="center" shrinkToFit="1"/>
    </xf>
    <xf numFmtId="1" fontId="2" fillId="0" borderId="31" xfId="0" applyNumberFormat="1" applyFont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shrinkToFit="1"/>
    </xf>
    <xf numFmtId="2" fontId="2" fillId="0" borderId="2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/>
    </xf>
    <xf numFmtId="0" fontId="1" fillId="4" borderId="28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164" fontId="4" fillId="4" borderId="32" xfId="0" applyNumberFormat="1" applyFont="1" applyFill="1" applyBorder="1" applyAlignment="1">
      <alignment horizontal="center" vertical="center" shrinkToFit="1"/>
    </xf>
    <xf numFmtId="1" fontId="4" fillId="4" borderId="33" xfId="0" applyNumberFormat="1" applyFont="1" applyFill="1" applyBorder="1" applyAlignment="1">
      <alignment horizontal="center" vertical="center" shrinkToFi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64" fontId="4" fillId="4" borderId="13" xfId="0" applyNumberFormat="1" applyFont="1" applyFill="1" applyBorder="1" applyAlignment="1">
      <alignment horizontal="center" vertical="center" shrinkToFit="1"/>
    </xf>
    <xf numFmtId="1" fontId="4" fillId="4" borderId="13" xfId="0" applyNumberFormat="1" applyFont="1" applyFill="1" applyBorder="1" applyAlignment="1">
      <alignment horizontal="center" vertical="center" shrinkToFit="1"/>
    </xf>
    <xf numFmtId="165" fontId="4" fillId="4" borderId="13" xfId="0" applyNumberFormat="1" applyFont="1" applyFill="1" applyBorder="1" applyAlignment="1">
      <alignment horizontal="center" vertical="center" shrinkToFit="1"/>
    </xf>
    <xf numFmtId="164" fontId="2" fillId="4" borderId="13" xfId="0" applyNumberFormat="1" applyFont="1" applyFill="1" applyBorder="1" applyAlignment="1">
      <alignment horizontal="center" vertical="center" shrinkToFit="1"/>
    </xf>
    <xf numFmtId="1" fontId="2" fillId="4" borderId="20" xfId="0" applyNumberFormat="1" applyFont="1" applyFill="1" applyBorder="1" applyAlignment="1">
      <alignment horizontal="center" vertical="center" shrinkToFi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2" fontId="4" fillId="4" borderId="13" xfId="0" applyNumberFormat="1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left" vertical="top"/>
    </xf>
    <xf numFmtId="0" fontId="0" fillId="0" borderId="27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1" fillId="4" borderId="11" xfId="0" applyFont="1" applyFill="1" applyBorder="1" applyAlignment="1">
      <alignment horizontal="center" vertical="center" wrapText="1"/>
    </xf>
    <xf numFmtId="1" fontId="4" fillId="4" borderId="47" xfId="0" applyNumberFormat="1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top"/>
    </xf>
    <xf numFmtId="0" fontId="2" fillId="0" borderId="45" xfId="0" applyFont="1" applyBorder="1" applyAlignment="1">
      <alignment horizontal="center" vertical="top"/>
    </xf>
    <xf numFmtId="0" fontId="2" fillId="0" borderId="46" xfId="0" applyFont="1" applyBorder="1" applyAlignment="1">
      <alignment horizontal="center" vertical="top"/>
    </xf>
    <xf numFmtId="0" fontId="3" fillId="3" borderId="27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25400</xdr:rowOff>
    </xdr:from>
    <xdr:to>
      <xdr:col>2</xdr:col>
      <xdr:colOff>533475</xdr:colOff>
      <xdr:row>2</xdr:row>
      <xdr:rowOff>57171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48C021-5546-D63A-DBE5-8BE45A3C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5400"/>
          <a:ext cx="1466925" cy="400071"/>
        </a:xfrm>
        <a:prstGeom prst="rect">
          <a:avLst/>
        </a:prstGeom>
      </xdr:spPr>
    </xdr:pic>
    <xdr:clientData/>
  </xdr:twoCellAnchor>
  <xdr:twoCellAnchor editAs="oneCell">
    <xdr:from>
      <xdr:col>32</xdr:col>
      <xdr:colOff>247650</xdr:colOff>
      <xdr:row>0</xdr:row>
      <xdr:rowOff>69850</xdr:rowOff>
    </xdr:from>
    <xdr:to>
      <xdr:col>33</xdr:col>
      <xdr:colOff>421293</xdr:colOff>
      <xdr:row>2</xdr:row>
      <xdr:rowOff>38117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5E793B-E9B8-7A61-3F9E-6EF160C71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0900" y="69850"/>
          <a:ext cx="1524078" cy="336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CD1A-6987-405A-814C-CCA669DF70AF}">
  <sheetPr>
    <pageSetUpPr fitToPage="1"/>
  </sheetPr>
  <dimension ref="B4:AL77"/>
  <sheetViews>
    <sheetView tabSelected="1" topLeftCell="A5" zoomScaleNormal="100" workbookViewId="0">
      <selection activeCell="F5" sqref="F5"/>
    </sheetView>
  </sheetViews>
  <sheetFormatPr defaultColWidth="8.77734375" defaultRowHeight="14.4" x14ac:dyDescent="0.25"/>
  <cols>
    <col min="1" max="1" width="8.77734375" style="1"/>
    <col min="2" max="2" width="15.109375" style="1" customWidth="1"/>
    <col min="3" max="3" width="17.44140625" style="1" customWidth="1"/>
    <col min="4" max="4" width="33" style="1" customWidth="1"/>
    <col min="5" max="5" width="7.77734375" style="1" customWidth="1"/>
    <col min="6" max="6" width="8.109375" style="1" customWidth="1"/>
    <col min="7" max="7" width="9" style="1" customWidth="1"/>
    <col min="8" max="8" width="24.77734375" style="1" customWidth="1"/>
    <col min="9" max="9" width="8.77734375" style="1" hidden="1" customWidth="1"/>
    <col min="10" max="10" width="0.44140625" style="1" hidden="1" customWidth="1"/>
    <col min="11" max="11" width="11.109375" style="1" customWidth="1"/>
    <col min="12" max="12" width="23" style="1" customWidth="1"/>
    <col min="13" max="13" width="6.77734375" style="1" customWidth="1"/>
    <col min="14" max="14" width="6.33203125" style="1" customWidth="1"/>
    <col min="15" max="15" width="11.109375" style="1" customWidth="1"/>
    <col min="16" max="16" width="10.6640625" style="1" customWidth="1"/>
    <col min="17" max="17" width="15.6640625" style="1" customWidth="1"/>
    <col min="18" max="18" width="15.109375" style="1" customWidth="1"/>
    <col min="19" max="19" width="6.6640625" style="1" customWidth="1"/>
    <col min="20" max="20" width="29.109375" style="1" customWidth="1"/>
    <col min="21" max="21" width="10.109375" style="1" customWidth="1"/>
    <col min="22" max="22" width="16.109375" style="1" customWidth="1"/>
    <col min="23" max="23" width="21.33203125" style="1" customWidth="1"/>
    <col min="24" max="24" width="8.77734375" style="1" hidden="1" customWidth="1"/>
    <col min="25" max="25" width="10.44140625" style="1" customWidth="1"/>
    <col min="26" max="26" width="9.109375" style="1" customWidth="1"/>
    <col min="27" max="27" width="11.77734375" style="1" hidden="1" customWidth="1"/>
    <col min="28" max="28" width="10.6640625" style="1" customWidth="1"/>
    <col min="29" max="29" width="14.33203125" style="1" customWidth="1"/>
    <col min="30" max="30" width="7.33203125" style="1" customWidth="1"/>
    <col min="31" max="32" width="5.6640625" style="1" customWidth="1"/>
    <col min="33" max="33" width="21.44140625" style="1" bestFit="1" customWidth="1"/>
    <col min="34" max="34" width="9.109375" style="1" customWidth="1"/>
    <col min="35" max="35" width="7.109375" style="1" customWidth="1"/>
    <col min="36" max="36" width="14.33203125" style="1" hidden="1" customWidth="1"/>
    <col min="37" max="37" width="11.109375" style="1" hidden="1" customWidth="1"/>
    <col min="38" max="38" width="0" style="1" hidden="1" customWidth="1"/>
    <col min="39" max="16384" width="8.77734375" style="1"/>
  </cols>
  <sheetData>
    <row r="4" spans="2:38" x14ac:dyDescent="0.25">
      <c r="B4" s="52" t="s">
        <v>50</v>
      </c>
      <c r="C4" s="52" t="s">
        <v>233</v>
      </c>
    </row>
    <row r="5" spans="2:38" x14ac:dyDescent="0.25">
      <c r="B5" s="52" t="s">
        <v>51</v>
      </c>
      <c r="C5" s="52" t="s">
        <v>234</v>
      </c>
    </row>
    <row r="6" spans="2:38" ht="18.899999999999999" customHeight="1" thickBot="1" x14ac:dyDescent="0.3">
      <c r="B6" s="89" t="s">
        <v>53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</row>
    <row r="7" spans="2:38" ht="14.4" customHeight="1" thickBot="1" x14ac:dyDescent="0.3">
      <c r="B7" s="111" t="s">
        <v>56</v>
      </c>
      <c r="C7" s="112"/>
      <c r="D7" s="112"/>
      <c r="E7" s="112"/>
      <c r="F7" s="112"/>
      <c r="G7" s="113"/>
      <c r="H7" s="90" t="s">
        <v>175</v>
      </c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2"/>
      <c r="V7" s="90" t="s">
        <v>176</v>
      </c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2"/>
    </row>
    <row r="8" spans="2:38" ht="28.8" x14ac:dyDescent="0.25">
      <c r="B8" s="116" t="s">
        <v>55</v>
      </c>
      <c r="C8" s="114" t="s">
        <v>0</v>
      </c>
      <c r="D8" s="114" t="s">
        <v>1</v>
      </c>
      <c r="E8" s="6" t="s">
        <v>3</v>
      </c>
      <c r="F8" s="6" t="s">
        <v>4</v>
      </c>
      <c r="G8" s="12" t="s">
        <v>48</v>
      </c>
      <c r="H8" s="93" t="s">
        <v>2</v>
      </c>
      <c r="I8" s="87" t="s">
        <v>57</v>
      </c>
      <c r="J8" s="95" t="s">
        <v>68</v>
      </c>
      <c r="K8" s="95" t="s">
        <v>5</v>
      </c>
      <c r="L8" s="19" t="s">
        <v>54</v>
      </c>
      <c r="M8" s="19" t="s">
        <v>6</v>
      </c>
      <c r="N8" s="19" t="s">
        <v>7</v>
      </c>
      <c r="O8" s="20" t="s">
        <v>48</v>
      </c>
      <c r="P8" s="19" t="s">
        <v>8</v>
      </c>
      <c r="Q8" s="19" t="s">
        <v>9</v>
      </c>
      <c r="R8" s="95" t="s">
        <v>10</v>
      </c>
      <c r="S8" s="19" t="s">
        <v>11</v>
      </c>
      <c r="T8" s="19" t="s">
        <v>12</v>
      </c>
      <c r="U8" s="21" t="s">
        <v>13</v>
      </c>
      <c r="V8" s="93" t="s">
        <v>0</v>
      </c>
      <c r="W8" s="95" t="s">
        <v>14</v>
      </c>
      <c r="X8" s="87" t="s">
        <v>177</v>
      </c>
      <c r="Y8" s="98" t="s">
        <v>15</v>
      </c>
      <c r="Z8" s="99"/>
      <c r="AA8" s="97" t="s">
        <v>49</v>
      </c>
      <c r="AB8" s="95" t="s">
        <v>16</v>
      </c>
      <c r="AC8" s="95" t="s">
        <v>10</v>
      </c>
      <c r="AD8" s="19" t="s">
        <v>11</v>
      </c>
      <c r="AE8" s="19" t="s">
        <v>17</v>
      </c>
      <c r="AF8" s="19" t="s">
        <v>18</v>
      </c>
      <c r="AG8" s="19" t="s">
        <v>12</v>
      </c>
      <c r="AH8" s="21" t="s">
        <v>13</v>
      </c>
    </row>
    <row r="9" spans="2:38" ht="28.8" x14ac:dyDescent="0.25">
      <c r="B9" s="117"/>
      <c r="C9" s="115"/>
      <c r="D9" s="115"/>
      <c r="E9" s="107" t="s">
        <v>19</v>
      </c>
      <c r="F9" s="107" t="s">
        <v>19</v>
      </c>
      <c r="G9" s="109" t="s">
        <v>20</v>
      </c>
      <c r="H9" s="94"/>
      <c r="I9" s="87"/>
      <c r="J9" s="95"/>
      <c r="K9" s="95"/>
      <c r="L9" s="22" t="s">
        <v>21</v>
      </c>
      <c r="M9" s="85" t="s">
        <v>19</v>
      </c>
      <c r="N9" s="85" t="s">
        <v>19</v>
      </c>
      <c r="O9" s="85" t="s">
        <v>20</v>
      </c>
      <c r="P9" s="85" t="s">
        <v>19</v>
      </c>
      <c r="Q9" s="85" t="s">
        <v>22</v>
      </c>
      <c r="R9" s="95"/>
      <c r="S9" s="85" t="s">
        <v>23</v>
      </c>
      <c r="T9" s="85" t="s">
        <v>24</v>
      </c>
      <c r="U9" s="101" t="s">
        <v>25</v>
      </c>
      <c r="V9" s="93"/>
      <c r="W9" s="95"/>
      <c r="X9" s="87"/>
      <c r="Y9" s="22" t="s">
        <v>174</v>
      </c>
      <c r="Z9" s="22" t="s">
        <v>26</v>
      </c>
      <c r="AA9" s="95"/>
      <c r="AB9" s="100"/>
      <c r="AC9" s="95"/>
      <c r="AD9" s="85" t="s">
        <v>23</v>
      </c>
      <c r="AE9" s="85" t="s">
        <v>23</v>
      </c>
      <c r="AF9" s="85" t="s">
        <v>23</v>
      </c>
      <c r="AG9" s="85" t="s">
        <v>24</v>
      </c>
      <c r="AH9" s="101" t="s">
        <v>25</v>
      </c>
    </row>
    <row r="10" spans="2:38" ht="15" thickBot="1" x14ac:dyDescent="0.3">
      <c r="B10" s="118"/>
      <c r="C10" s="108"/>
      <c r="D10" s="108"/>
      <c r="E10" s="108"/>
      <c r="F10" s="108"/>
      <c r="G10" s="110"/>
      <c r="H10" s="94"/>
      <c r="I10" s="87"/>
      <c r="J10" s="95"/>
      <c r="K10" s="95"/>
      <c r="L10" s="25" t="s">
        <v>27</v>
      </c>
      <c r="M10" s="95"/>
      <c r="N10" s="95"/>
      <c r="O10" s="95"/>
      <c r="P10" s="95"/>
      <c r="Q10" s="95"/>
      <c r="R10" s="95"/>
      <c r="S10" s="95"/>
      <c r="T10" s="95"/>
      <c r="U10" s="106"/>
      <c r="V10" s="96"/>
      <c r="W10" s="86"/>
      <c r="X10" s="88"/>
      <c r="Y10" s="23" t="s">
        <v>21</v>
      </c>
      <c r="Z10" s="23" t="s">
        <v>28</v>
      </c>
      <c r="AA10" s="86"/>
      <c r="AB10" s="23" t="s">
        <v>28</v>
      </c>
      <c r="AC10" s="86"/>
      <c r="AD10" s="86"/>
      <c r="AE10" s="86"/>
      <c r="AF10" s="86"/>
      <c r="AG10" s="86"/>
      <c r="AH10" s="102"/>
    </row>
    <row r="11" spans="2:38" x14ac:dyDescent="0.25">
      <c r="B11" s="103" t="s">
        <v>207</v>
      </c>
      <c r="C11" s="57" t="s">
        <v>188</v>
      </c>
      <c r="D11" s="57" t="s">
        <v>189</v>
      </c>
      <c r="E11" s="16">
        <v>3.8</v>
      </c>
      <c r="F11" s="16">
        <v>3</v>
      </c>
      <c r="G11" s="17">
        <v>198</v>
      </c>
      <c r="H11" s="59" t="s">
        <v>71</v>
      </c>
      <c r="I11" s="60">
        <f>IF($H11="","",VLOOKUP($H11,'Indoor Data'!$B$6:$O$57,13,FALSE))</f>
        <v>40</v>
      </c>
      <c r="J11" s="61" t="str">
        <f>IF($H11="","",VLOOKUP($H11,'Indoor Data'!$B$6:$O$57,14,FALSE))</f>
        <v>India</v>
      </c>
      <c r="K11" s="61" t="str">
        <f>IF($H11="","",VLOOKUP($H11,'Indoor Data'!$B$6:$O$57,2,FALSE))</f>
        <v>Ducted</v>
      </c>
      <c r="L11" s="61" t="str">
        <f>IF($H11="","",VLOOKUP($H11,'Indoor Data'!$B$6:$O$57,3,FALSE))</f>
        <v>46 - 24.4/17.2</v>
      </c>
      <c r="M11" s="61">
        <f>IF($H11="","",VLOOKUP($H11,'Indoor Data'!$B$6:$O$57,4,FALSE))</f>
        <v>4</v>
      </c>
      <c r="N11" s="61">
        <f>IF($H11="","",VLOOKUP($H11,'Indoor Data'!$B$6:$O$57,5,FALSE))</f>
        <v>3.5</v>
      </c>
      <c r="O11" s="62">
        <f>IF($H11="","",VLOOKUP($H11,'Indoor Data'!$B$6:$O$57,6,FALSE))</f>
        <v>266.67</v>
      </c>
      <c r="P11" s="63">
        <f>IF($H11="","",VLOOKUP($H11,'Indoor Data'!$B$6:$O$57,7,FALSE))</f>
        <v>0.151</v>
      </c>
      <c r="Q11" s="61" t="str">
        <f>IF($H11="","",VLOOKUP($H11,'Indoor Data'!$B$6:$O$57,8,FALSE))</f>
        <v>35 - 39</v>
      </c>
      <c r="R11" s="61" t="str">
        <f>IF($H11="","",VLOOKUP($H11,'Indoor Data'!$B$6:$O$57,9,FALSE))</f>
        <v>230V 1ph</v>
      </c>
      <c r="S11" s="61">
        <f>IF($H11="","",VLOOKUP($H11,'Indoor Data'!$B$6:$O$57,10,FALSE))</f>
        <v>1.4</v>
      </c>
      <c r="T11" s="61" t="str">
        <f>IF($H11="","",VLOOKUP($H11,'Indoor Data'!$B$6:$O$57,11,FALSE))</f>
        <v>700 x 300 x 700</v>
      </c>
      <c r="U11" s="64">
        <f>IF($H11="","",VLOOKUP($H11,'Indoor Data'!$B$6:$O$57,12,FALSE))</f>
        <v>27</v>
      </c>
      <c r="V11" s="65"/>
      <c r="W11" s="66"/>
      <c r="X11" s="67"/>
      <c r="Y11" s="66"/>
      <c r="Z11" s="66"/>
      <c r="AA11" s="66"/>
      <c r="AB11" s="66"/>
      <c r="AC11" s="10"/>
      <c r="AD11" s="10"/>
      <c r="AE11" s="10"/>
      <c r="AF11" s="10"/>
      <c r="AG11" s="10"/>
      <c r="AH11" s="11"/>
    </row>
    <row r="12" spans="2:38" x14ac:dyDescent="0.25">
      <c r="B12" s="104"/>
      <c r="C12" s="58" t="s">
        <v>190</v>
      </c>
      <c r="D12" s="58" t="s">
        <v>191</v>
      </c>
      <c r="E12" s="13">
        <v>4.0999999999999996</v>
      </c>
      <c r="F12" s="13">
        <v>3.1</v>
      </c>
      <c r="G12" s="18">
        <v>207</v>
      </c>
      <c r="H12" s="68" t="s">
        <v>72</v>
      </c>
      <c r="I12" s="69">
        <f>IF($H12="","",VLOOKUP($H12,'Indoor Data'!$B$6:$O$57,13,FALSE))</f>
        <v>50</v>
      </c>
      <c r="J12" s="70" t="str">
        <f>IF($H12="","",VLOOKUP($H12,'Indoor Data'!$B$6:$O$57,14,FALSE))</f>
        <v>India</v>
      </c>
      <c r="K12" s="70" t="str">
        <f>IF($H12="","",VLOOKUP($H12,'Indoor Data'!$B$6:$O$57,2,FALSE))</f>
        <v>Ducted</v>
      </c>
      <c r="L12" s="70" t="str">
        <f>IF($H12="","",VLOOKUP($H12,'Indoor Data'!$B$6:$O$57,3,FALSE))</f>
        <v>46 - 24.4/17.2</v>
      </c>
      <c r="M12" s="70">
        <f>IF($H12="","",VLOOKUP($H12,'Indoor Data'!$B$6:$O$57,4,FALSE))</f>
        <v>4.9000000000000004</v>
      </c>
      <c r="N12" s="70">
        <f>IF($H12="","",VLOOKUP($H12,'Indoor Data'!$B$6:$O$57,5,FALSE))</f>
        <v>4.2</v>
      </c>
      <c r="O12" s="71">
        <f>IF($H12="","",VLOOKUP($H12,'Indoor Data'!$B$6:$O$57,6,FALSE))</f>
        <v>300</v>
      </c>
      <c r="P12" s="72">
        <f>IF($H12="","",VLOOKUP($H12,'Indoor Data'!$B$6:$O$57,7,FALSE))</f>
        <v>0.128</v>
      </c>
      <c r="Q12" s="70" t="str">
        <f>IF($H12="","",VLOOKUP($H12,'Indoor Data'!$B$6:$O$57,8,FALSE))</f>
        <v>37 - 41</v>
      </c>
      <c r="R12" s="70" t="str">
        <f>IF($H12="","",VLOOKUP($H12,'Indoor Data'!$B$6:$O$57,9,FALSE))</f>
        <v>230V 1ph</v>
      </c>
      <c r="S12" s="70">
        <f>IF($H12="","",VLOOKUP($H12,'Indoor Data'!$B$6:$O$57,10,FALSE))</f>
        <v>1.6</v>
      </c>
      <c r="T12" s="70" t="str">
        <f>IF($H12="","",VLOOKUP($H12,'Indoor Data'!$B$6:$O$57,11,FALSE))</f>
        <v>1,000 x 300 x 700</v>
      </c>
      <c r="U12" s="73">
        <f>IF($H12="","",VLOOKUP($H12,'Indoor Data'!$B$6:$O$57,12,FALSE))</f>
        <v>35</v>
      </c>
      <c r="V12" s="74"/>
      <c r="W12" s="75"/>
      <c r="X12" s="76">
        <f>IF($W12="",0,VLOOKUP($W12,'Outdoor Data'!$B$6:$L$16,11,FALSE))</f>
        <v>0</v>
      </c>
      <c r="Y12" s="75" t="str">
        <f>IF($W12="","",VLOOKUP($W12,'Outdoor Data'!$B$6:$L$16,2,FALSE))</f>
        <v/>
      </c>
      <c r="Z12" s="75" t="str">
        <f>IF($W12="","",VLOOKUP($W12,'Outdoor Data'!$B$6:$L$16,3,FALSE))</f>
        <v/>
      </c>
      <c r="AA12" s="77" t="str">
        <f>IF(W12="","",I26/X26)</f>
        <v/>
      </c>
      <c r="AB12" s="75" t="str">
        <f>IF($W12="","",VLOOKUP($W12,'Outdoor Data'!$B$6:$L$16,4,FALSE))</f>
        <v/>
      </c>
      <c r="AC12" s="5" t="str">
        <f>IF($W12="","",VLOOKUP($W12,'Outdoor Data'!$B$6:$L$16,5,FALSE))</f>
        <v/>
      </c>
      <c r="AD12" s="5" t="str">
        <f>IF($W12="","",VLOOKUP($W12,'Outdoor Data'!$B$6:$L$16,6,FALSE))</f>
        <v/>
      </c>
      <c r="AE12" s="5" t="str">
        <f>IF($W12="","",VLOOKUP($W12,'Outdoor Data'!$B$6:$L$16,7,FALSE))</f>
        <v/>
      </c>
      <c r="AF12" s="5" t="str">
        <f>IF($W12="","",VLOOKUP($W12,'Outdoor Data'!$B$6:$L$16,8,FALSE))</f>
        <v/>
      </c>
      <c r="AG12" s="5" t="str">
        <f>IF($W12="","",VLOOKUP($W12,'Outdoor Data'!$B$6:$L$16,9,FALSE))</f>
        <v/>
      </c>
      <c r="AH12" s="48" t="str">
        <f>IF($W12="","",VLOOKUP($W12,'Outdoor Data'!$B$6:$L$16,10,FALSE))</f>
        <v/>
      </c>
    </row>
    <row r="13" spans="2:38" x14ac:dyDescent="0.25">
      <c r="B13" s="104"/>
      <c r="C13" s="58" t="s">
        <v>192</v>
      </c>
      <c r="D13" s="58" t="s">
        <v>193</v>
      </c>
      <c r="E13" s="13">
        <v>4.0999999999999996</v>
      </c>
      <c r="F13" s="13">
        <v>3.1</v>
      </c>
      <c r="G13" s="18">
        <v>210</v>
      </c>
      <c r="H13" s="68" t="s">
        <v>72</v>
      </c>
      <c r="I13" s="69">
        <f>IF($H13="","",VLOOKUP($H13,'Indoor Data'!$B$6:$O$57,13,FALSE))</f>
        <v>50</v>
      </c>
      <c r="J13" s="70" t="str">
        <f>IF($H13="","",VLOOKUP($H13,'Indoor Data'!$B$6:$O$57,14,FALSE))</f>
        <v>India</v>
      </c>
      <c r="K13" s="70" t="str">
        <f>IF($H13="","",VLOOKUP($H13,'Indoor Data'!$B$6:$O$57,2,FALSE))</f>
        <v>Ducted</v>
      </c>
      <c r="L13" s="70" t="str">
        <f>IF($H13="","",VLOOKUP($H13,'Indoor Data'!$B$6:$O$57,3,FALSE))</f>
        <v>46 - 24.4/17.2</v>
      </c>
      <c r="M13" s="70">
        <f>IF($H13="","",VLOOKUP($H13,'Indoor Data'!$B$6:$O$57,4,FALSE))</f>
        <v>4.9000000000000004</v>
      </c>
      <c r="N13" s="70">
        <f>IF($H13="","",VLOOKUP($H13,'Indoor Data'!$B$6:$O$57,5,FALSE))</f>
        <v>4.2</v>
      </c>
      <c r="O13" s="71">
        <f>IF($H13="","",VLOOKUP($H13,'Indoor Data'!$B$6:$O$57,6,FALSE))</f>
        <v>300</v>
      </c>
      <c r="P13" s="72">
        <f>IF($H13="","",VLOOKUP($H13,'Indoor Data'!$B$6:$O$57,7,FALSE))</f>
        <v>0.128</v>
      </c>
      <c r="Q13" s="70" t="str">
        <f>IF($H13="","",VLOOKUP($H13,'Indoor Data'!$B$6:$O$57,8,FALSE))</f>
        <v>37 - 41</v>
      </c>
      <c r="R13" s="70" t="str">
        <f>IF($H13="","",VLOOKUP($H13,'Indoor Data'!$B$6:$O$57,9,FALSE))</f>
        <v>230V 1ph</v>
      </c>
      <c r="S13" s="70">
        <f>IF($H13="","",VLOOKUP($H13,'Indoor Data'!$B$6:$O$57,10,FALSE))</f>
        <v>1.6</v>
      </c>
      <c r="T13" s="70" t="str">
        <f>IF($H13="","",VLOOKUP($H13,'Indoor Data'!$B$6:$O$57,11,FALSE))</f>
        <v>1,000 x 300 x 700</v>
      </c>
      <c r="U13" s="73">
        <f>IF($H13="","",VLOOKUP($H13,'Indoor Data'!$B$6:$O$57,12,FALSE))</f>
        <v>35</v>
      </c>
      <c r="V13" s="74" t="s">
        <v>207</v>
      </c>
      <c r="W13" s="75" t="s">
        <v>206</v>
      </c>
      <c r="X13" s="76"/>
      <c r="Y13" s="75">
        <v>46</v>
      </c>
      <c r="Z13" s="75">
        <v>40.4</v>
      </c>
      <c r="AA13" s="77">
        <f>IF(W14="","",I26/X26)</f>
        <v>1.0733333333333333</v>
      </c>
      <c r="AB13" s="75"/>
      <c r="AC13" s="5"/>
      <c r="AD13" s="5"/>
      <c r="AE13" s="5"/>
      <c r="AF13" s="5"/>
      <c r="AG13" s="5"/>
      <c r="AH13" s="48"/>
      <c r="AJ13" s="52" t="s">
        <v>185</v>
      </c>
      <c r="AK13" s="53">
        <v>1.1000000000000001</v>
      </c>
      <c r="AL13" s="52"/>
    </row>
    <row r="14" spans="2:38" x14ac:dyDescent="0.25">
      <c r="B14" s="104"/>
      <c r="C14" s="58" t="s">
        <v>194</v>
      </c>
      <c r="D14" s="58" t="s">
        <v>195</v>
      </c>
      <c r="E14" s="13">
        <v>4.0999999999999996</v>
      </c>
      <c r="F14" s="13">
        <v>3.1</v>
      </c>
      <c r="G14" s="18">
        <v>210</v>
      </c>
      <c r="H14" s="68" t="s">
        <v>72</v>
      </c>
      <c r="I14" s="69">
        <f>IF($H14="","",VLOOKUP($H14,'Indoor Data'!$B$6:$O$57,13,FALSE))</f>
        <v>50</v>
      </c>
      <c r="J14" s="70" t="str">
        <f>IF($H14="","",VLOOKUP($H14,'Indoor Data'!$B$6:$O$57,14,FALSE))</f>
        <v>India</v>
      </c>
      <c r="K14" s="70" t="str">
        <f>IF($H14="","",VLOOKUP($H14,'Indoor Data'!$B$6:$O$57,2,FALSE))</f>
        <v>Ducted</v>
      </c>
      <c r="L14" s="70" t="str">
        <f>IF($H14="","",VLOOKUP($H14,'Indoor Data'!$B$6:$O$57,3,FALSE))</f>
        <v>46 - 24.4/17.2</v>
      </c>
      <c r="M14" s="70">
        <f>IF($H14="","",VLOOKUP($H14,'Indoor Data'!$B$6:$O$57,4,FALSE))</f>
        <v>4.9000000000000004</v>
      </c>
      <c r="N14" s="70">
        <f>IF($H14="","",VLOOKUP($H14,'Indoor Data'!$B$6:$O$57,5,FALSE))</f>
        <v>4.2</v>
      </c>
      <c r="O14" s="71">
        <f>IF($H14="","",VLOOKUP($H14,'Indoor Data'!$B$6:$O$57,6,FALSE))</f>
        <v>300</v>
      </c>
      <c r="P14" s="72">
        <f>IF($H14="","",VLOOKUP($H14,'Indoor Data'!$B$6:$O$57,7,FALSE))</f>
        <v>0.128</v>
      </c>
      <c r="Q14" s="70" t="str">
        <f>IF($H14="","",VLOOKUP($H14,'Indoor Data'!$B$6:$O$57,8,FALSE))</f>
        <v>37 - 41</v>
      </c>
      <c r="R14" s="70" t="str">
        <f>IF($H14="","",VLOOKUP($H14,'Indoor Data'!$B$6:$O$57,9,FALSE))</f>
        <v>230V 1ph</v>
      </c>
      <c r="S14" s="70">
        <f>IF($H14="","",VLOOKUP($H14,'Indoor Data'!$B$6:$O$57,10,FALSE))</f>
        <v>1.6</v>
      </c>
      <c r="T14" s="70" t="str">
        <f>IF($H14="","",VLOOKUP($H14,'Indoor Data'!$B$6:$O$57,11,FALSE))</f>
        <v>1,000 x 300 x 700</v>
      </c>
      <c r="U14" s="73">
        <f>IF($H14="","",VLOOKUP($H14,'Indoor Data'!$B$6:$O$57,12,FALSE))</f>
        <v>35</v>
      </c>
      <c r="V14" s="74" t="s">
        <v>23</v>
      </c>
      <c r="W14" s="75" t="s">
        <v>166</v>
      </c>
      <c r="X14" s="76">
        <f>IF($W14="",0,VLOOKUP($W14,'Outdoor Data'!$B$6:$L$16,11,FALSE))</f>
        <v>300</v>
      </c>
      <c r="Y14" s="75"/>
      <c r="Z14" s="75"/>
      <c r="AA14" s="75"/>
      <c r="AB14" s="75">
        <f>IF($W14="","",VLOOKUP($W14,'Outdoor Data'!$B$6:$L$16,4,FALSE))</f>
        <v>10.4</v>
      </c>
      <c r="AC14" s="5" t="str">
        <f>IF($W14="","",VLOOKUP($W14,'Outdoor Data'!$B$6:$L$16,5,FALSE))</f>
        <v>400V 3Nph</v>
      </c>
      <c r="AD14" s="5">
        <f>IF($W14="","",VLOOKUP($W14,'Outdoor Data'!$B$6:$L$16,6,FALSE))</f>
        <v>26.9</v>
      </c>
      <c r="AE14" s="5" t="str">
        <f>IF($W14="","",VLOOKUP($W14,'Outdoor Data'!$B$6:$L$16,7,FALSE))</f>
        <v>-</v>
      </c>
      <c r="AF14" s="5" t="str">
        <f>IF($W14="","",VLOOKUP($W14,'Outdoor Data'!$B$6:$L$16,8,FALSE))</f>
        <v>-</v>
      </c>
      <c r="AG14" s="5" t="str">
        <f>IF($W14="","",VLOOKUP($W14,'Outdoor Data'!$B$6:$L$16,9,FALSE))</f>
        <v>1,240 x 1,657 x 765</v>
      </c>
      <c r="AH14" s="48">
        <f>IF($W14="","",VLOOKUP($W14,'Outdoor Data'!$B$6:$L$16,10,FALSE))</f>
        <v>220</v>
      </c>
      <c r="AJ14" s="52" t="s">
        <v>186</v>
      </c>
      <c r="AK14" s="54">
        <f>(I26/AK13)/25</f>
        <v>17.563636363636363</v>
      </c>
      <c r="AL14" s="52" t="s">
        <v>187</v>
      </c>
    </row>
    <row r="15" spans="2:38" x14ac:dyDescent="0.25">
      <c r="B15" s="104"/>
      <c r="C15" s="58" t="s">
        <v>196</v>
      </c>
      <c r="D15" s="58" t="s">
        <v>197</v>
      </c>
      <c r="E15" s="13">
        <v>4.3</v>
      </c>
      <c r="F15" s="13">
        <v>3.3</v>
      </c>
      <c r="G15" s="18">
        <v>227</v>
      </c>
      <c r="H15" s="68" t="s">
        <v>72</v>
      </c>
      <c r="I15" s="69">
        <f>IF($H15="","",VLOOKUP($H15,'Indoor Data'!$B$6:$O$57,13,FALSE))</f>
        <v>50</v>
      </c>
      <c r="J15" s="70" t="str">
        <f>IF($H15="","",VLOOKUP($H15,'Indoor Data'!$B$6:$O$57,14,FALSE))</f>
        <v>India</v>
      </c>
      <c r="K15" s="70" t="str">
        <f>IF($H15="","",VLOOKUP($H15,'Indoor Data'!$B$6:$O$57,2,FALSE))</f>
        <v>Ducted</v>
      </c>
      <c r="L15" s="70" t="str">
        <f>IF($H15="","",VLOOKUP($H15,'Indoor Data'!$B$6:$O$57,3,FALSE))</f>
        <v>46 - 24.4/17.2</v>
      </c>
      <c r="M15" s="70">
        <f>IF($H15="","",VLOOKUP($H15,'Indoor Data'!$B$6:$O$57,4,FALSE))</f>
        <v>4.9000000000000004</v>
      </c>
      <c r="N15" s="70">
        <f>IF($H15="","",VLOOKUP($H15,'Indoor Data'!$B$6:$O$57,5,FALSE))</f>
        <v>4.2</v>
      </c>
      <c r="O15" s="71">
        <f>IF($H15="","",VLOOKUP($H15,'Indoor Data'!$B$6:$O$57,6,FALSE))</f>
        <v>300</v>
      </c>
      <c r="P15" s="72">
        <f>IF($H15="","",VLOOKUP($H15,'Indoor Data'!$B$6:$O$57,7,FALSE))</f>
        <v>0.128</v>
      </c>
      <c r="Q15" s="70" t="str">
        <f>IF($H15="","",VLOOKUP($H15,'Indoor Data'!$B$6:$O$57,8,FALSE))</f>
        <v>37 - 41</v>
      </c>
      <c r="R15" s="70" t="str">
        <f>IF($H15="","",VLOOKUP($H15,'Indoor Data'!$B$6:$O$57,9,FALSE))</f>
        <v>230V 1ph</v>
      </c>
      <c r="S15" s="70">
        <f>IF($H15="","",VLOOKUP($H15,'Indoor Data'!$B$6:$O$57,10,FALSE))</f>
        <v>1.6</v>
      </c>
      <c r="T15" s="70" t="str">
        <f>IF($H15="","",VLOOKUP($H15,'Indoor Data'!$B$6:$O$57,11,FALSE))</f>
        <v>1,000 x 300 x 700</v>
      </c>
      <c r="U15" s="73">
        <f>IF($H15="","",VLOOKUP($H15,'Indoor Data'!$B$6:$O$57,12,FALSE))</f>
        <v>35</v>
      </c>
      <c r="V15" s="74" t="s">
        <v>41</v>
      </c>
      <c r="W15" s="75" t="s">
        <v>163</v>
      </c>
      <c r="X15" s="76">
        <f>IF($W15="",0,VLOOKUP($W15,'Outdoor Data'!$B$6:$L$16,11,FALSE))</f>
        <v>150</v>
      </c>
      <c r="Y15" s="75"/>
      <c r="Z15" s="75"/>
      <c r="AA15" s="75"/>
      <c r="AB15" s="75">
        <f>IF($W15="","",VLOOKUP($W15,'Outdoor Data'!$B$6:$L$16,4,FALSE))</f>
        <v>5.0999999999999996</v>
      </c>
      <c r="AC15" s="5" t="str">
        <f>IF($W15="","",VLOOKUP($W15,'Outdoor Data'!$B$6:$L$16,5,FALSE))</f>
        <v>400V 3Nph</v>
      </c>
      <c r="AD15" s="5">
        <f>IF($W15="","",VLOOKUP($W15,'Outdoor Data'!$B$6:$L$16,6,FALSE))</f>
        <v>16.100000000000001</v>
      </c>
      <c r="AE15" s="5" t="str">
        <f>IF($W15="","",VLOOKUP($W15,'Outdoor Data'!$B$6:$L$16,7,FALSE))</f>
        <v>-</v>
      </c>
      <c r="AF15" s="5" t="str">
        <f>IF($W15="","",VLOOKUP($W15,'Outdoor Data'!$B$6:$L$16,8,FALSE))</f>
        <v>-</v>
      </c>
      <c r="AG15" s="5" t="str">
        <f>IF($W15="","",VLOOKUP($W15,'Outdoor Data'!$B$6:$L$16,9,FALSE))</f>
        <v>930 x 1,657 x 765</v>
      </c>
      <c r="AH15" s="48">
        <f>IF($W15="","",VLOOKUP($W15,'Outdoor Data'!$B$6:$L$16,10,FALSE))</f>
        <v>165</v>
      </c>
    </row>
    <row r="16" spans="2:38" x14ac:dyDescent="0.25">
      <c r="B16" s="104"/>
      <c r="C16" s="58" t="s">
        <v>198</v>
      </c>
      <c r="D16" s="58" t="s">
        <v>199</v>
      </c>
      <c r="E16" s="13">
        <v>2.9</v>
      </c>
      <c r="F16" s="13">
        <v>2.2000000000000002</v>
      </c>
      <c r="G16" s="18">
        <v>138</v>
      </c>
      <c r="H16" s="68" t="s">
        <v>71</v>
      </c>
      <c r="I16" s="69">
        <f>IF($H16="","",VLOOKUP($H16,'Indoor Data'!$B$6:$O$57,13,FALSE))</f>
        <v>40</v>
      </c>
      <c r="J16" s="70" t="str">
        <f>IF($H16="","",VLOOKUP($H16,'Indoor Data'!$B$6:$O$57,14,FALSE))</f>
        <v>India</v>
      </c>
      <c r="K16" s="70" t="str">
        <f>IF($H16="","",VLOOKUP($H16,'Indoor Data'!$B$6:$O$57,2,FALSE))</f>
        <v>Ducted</v>
      </c>
      <c r="L16" s="70" t="str">
        <f>IF($H16="","",VLOOKUP($H16,'Indoor Data'!$B$6:$O$57,3,FALSE))</f>
        <v>46 - 24.4/17.2</v>
      </c>
      <c r="M16" s="70">
        <f>IF($H16="","",VLOOKUP($H16,'Indoor Data'!$B$6:$O$57,4,FALSE))</f>
        <v>4</v>
      </c>
      <c r="N16" s="70">
        <f>IF($H16="","",VLOOKUP($H16,'Indoor Data'!$B$6:$O$57,5,FALSE))</f>
        <v>3.5</v>
      </c>
      <c r="O16" s="71">
        <f>IF($H16="","",VLOOKUP($H16,'Indoor Data'!$B$6:$O$57,6,FALSE))</f>
        <v>266.67</v>
      </c>
      <c r="P16" s="72">
        <f>IF($H16="","",VLOOKUP($H16,'Indoor Data'!$B$6:$O$57,7,FALSE))</f>
        <v>0.151</v>
      </c>
      <c r="Q16" s="70" t="str">
        <f>IF($H16="","",VLOOKUP($H16,'Indoor Data'!$B$6:$O$57,8,FALSE))</f>
        <v>35 - 39</v>
      </c>
      <c r="R16" s="70" t="str">
        <f>IF($H16="","",VLOOKUP($H16,'Indoor Data'!$B$6:$O$57,9,FALSE))</f>
        <v>230V 1ph</v>
      </c>
      <c r="S16" s="70">
        <f>IF($H16="","",VLOOKUP($H16,'Indoor Data'!$B$6:$O$57,10,FALSE))</f>
        <v>1.4</v>
      </c>
      <c r="T16" s="70" t="str">
        <f>IF($H16="","",VLOOKUP($H16,'Indoor Data'!$B$6:$O$57,11,FALSE))</f>
        <v>700 x 300 x 700</v>
      </c>
      <c r="U16" s="73">
        <f>IF($H16="","",VLOOKUP($H16,'Indoor Data'!$B$6:$O$57,12,FALSE))</f>
        <v>27</v>
      </c>
      <c r="V16" s="74"/>
      <c r="W16" s="75"/>
      <c r="X16" s="76">
        <f>IF($W16="",0,VLOOKUP($W16,'Outdoor Data'!$B$6:$L$16,11,FALSE))</f>
        <v>0</v>
      </c>
      <c r="Y16" s="75"/>
      <c r="Z16" s="75"/>
      <c r="AA16" s="75"/>
      <c r="AB16" s="75" t="str">
        <f>IF($W16="","",VLOOKUP($W16,'Outdoor Data'!$B$6:$L$16,4,FALSE))</f>
        <v/>
      </c>
      <c r="AC16" s="5" t="str">
        <f>IF($W16="","",VLOOKUP($W16,'Outdoor Data'!$B$6:$L$16,5,FALSE))</f>
        <v/>
      </c>
      <c r="AD16" s="5" t="str">
        <f>IF($W16="","",VLOOKUP($W16,'Outdoor Data'!$B$6:$L$16,6,FALSE))</f>
        <v/>
      </c>
      <c r="AE16" s="5" t="str">
        <f>IF($W16="","",VLOOKUP($W16,'Outdoor Data'!$B$6:$L$16,7,FALSE))</f>
        <v/>
      </c>
      <c r="AF16" s="5" t="str">
        <f>IF($W16="","",VLOOKUP($W16,'Outdoor Data'!$B$6:$L$16,8,FALSE))</f>
        <v/>
      </c>
      <c r="AG16" s="5" t="str">
        <f>IF($W16="","",VLOOKUP($W16,'Outdoor Data'!$B$6:$L$16,9,FALSE))</f>
        <v/>
      </c>
      <c r="AH16" s="48" t="str">
        <f>IF($W16="","",VLOOKUP($W16,'Outdoor Data'!$B$6:$L$16,10,FALSE))</f>
        <v/>
      </c>
    </row>
    <row r="17" spans="2:38" x14ac:dyDescent="0.25">
      <c r="B17" s="104"/>
      <c r="C17" s="58" t="s">
        <v>200</v>
      </c>
      <c r="D17" s="58" t="s">
        <v>201</v>
      </c>
      <c r="E17" s="13">
        <v>3.6</v>
      </c>
      <c r="F17" s="13">
        <v>2.7</v>
      </c>
      <c r="G17" s="18">
        <v>177</v>
      </c>
      <c r="H17" s="68" t="s">
        <v>71</v>
      </c>
      <c r="I17" s="69">
        <f>IF($H17="","",VLOOKUP($H17,'Indoor Data'!$B$6:$O$57,13,FALSE))</f>
        <v>40</v>
      </c>
      <c r="J17" s="70" t="str">
        <f>IF($H17="","",VLOOKUP($H17,'Indoor Data'!$B$6:$O$57,14,FALSE))</f>
        <v>India</v>
      </c>
      <c r="K17" s="70" t="str">
        <f>IF($H17="","",VLOOKUP($H17,'Indoor Data'!$B$6:$O$57,2,FALSE))</f>
        <v>Ducted</v>
      </c>
      <c r="L17" s="70" t="str">
        <f>IF($H17="","",VLOOKUP($H17,'Indoor Data'!$B$6:$O$57,3,FALSE))</f>
        <v>46 - 24.4/17.2</v>
      </c>
      <c r="M17" s="70">
        <f>IF($H17="","",VLOOKUP($H17,'Indoor Data'!$B$6:$O$57,4,FALSE))</f>
        <v>4</v>
      </c>
      <c r="N17" s="70">
        <f>IF($H17="","",VLOOKUP($H17,'Indoor Data'!$B$6:$O$57,5,FALSE))</f>
        <v>3.5</v>
      </c>
      <c r="O17" s="71">
        <f>IF($H17="","",VLOOKUP($H17,'Indoor Data'!$B$6:$O$57,6,FALSE))</f>
        <v>266.67</v>
      </c>
      <c r="P17" s="72">
        <f>IF($H17="","",VLOOKUP($H17,'Indoor Data'!$B$6:$O$57,7,FALSE))</f>
        <v>0.151</v>
      </c>
      <c r="Q17" s="70" t="str">
        <f>IF($H17="","",VLOOKUP($H17,'Indoor Data'!$B$6:$O$57,8,FALSE))</f>
        <v>35 - 39</v>
      </c>
      <c r="R17" s="70" t="str">
        <f>IF($H17="","",VLOOKUP($H17,'Indoor Data'!$B$6:$O$57,9,FALSE))</f>
        <v>230V 1ph</v>
      </c>
      <c r="S17" s="70">
        <f>IF($H17="","",VLOOKUP($H17,'Indoor Data'!$B$6:$O$57,10,FALSE))</f>
        <v>1.4</v>
      </c>
      <c r="T17" s="70" t="str">
        <f>IF($H17="","",VLOOKUP($H17,'Indoor Data'!$B$6:$O$57,11,FALSE))</f>
        <v>700 x 300 x 700</v>
      </c>
      <c r="U17" s="73">
        <f>IF($H17="","",VLOOKUP($H17,'Indoor Data'!$B$6:$O$57,12,FALSE))</f>
        <v>27</v>
      </c>
      <c r="V17" s="74"/>
      <c r="W17" s="75"/>
      <c r="X17" s="76"/>
      <c r="Y17" s="2"/>
      <c r="Z17" s="2"/>
      <c r="AA17" s="2"/>
      <c r="AB17" s="78"/>
      <c r="AC17" s="5"/>
      <c r="AD17" s="24"/>
      <c r="AE17" s="24"/>
      <c r="AF17" s="24"/>
      <c r="AG17" s="8"/>
      <c r="AH17" s="9"/>
    </row>
    <row r="18" spans="2:38" x14ac:dyDescent="0.25">
      <c r="B18" s="104"/>
      <c r="C18" s="58" t="s">
        <v>202</v>
      </c>
      <c r="D18" s="58" t="s">
        <v>203</v>
      </c>
      <c r="E18" s="13">
        <v>8.1</v>
      </c>
      <c r="F18" s="13">
        <v>6.3</v>
      </c>
      <c r="G18" s="18">
        <v>429</v>
      </c>
      <c r="H18" s="68" t="s">
        <v>75</v>
      </c>
      <c r="I18" s="69">
        <f>IF($H18="","",VLOOKUP($H18,'Indoor Data'!$B$6:$O$57,13,FALSE))</f>
        <v>100</v>
      </c>
      <c r="J18" s="70" t="str">
        <f>IF($H18="","",VLOOKUP($H18,'Indoor Data'!$B$6:$O$57,14,FALSE))</f>
        <v>India</v>
      </c>
      <c r="K18" s="70" t="str">
        <f>IF($H18="","",VLOOKUP($H18,'Indoor Data'!$B$6:$O$57,2,FALSE))</f>
        <v>Ducted</v>
      </c>
      <c r="L18" s="70" t="str">
        <f>IF($H18="","",VLOOKUP($H18,'Indoor Data'!$B$6:$O$57,3,FALSE))</f>
        <v>46 - 24.4/17.2</v>
      </c>
      <c r="M18" s="70">
        <f>IF($H18="","",VLOOKUP($H18,'Indoor Data'!$B$6:$O$57,4,FALSE))</f>
        <v>9.9</v>
      </c>
      <c r="N18" s="70">
        <f>IF($H18="","",VLOOKUP($H18,'Indoor Data'!$B$6:$O$57,5,FALSE))</f>
        <v>7.7</v>
      </c>
      <c r="O18" s="71">
        <f>IF($H18="","",VLOOKUP($H18,'Indoor Data'!$B$6:$O$57,6,FALSE))</f>
        <v>533.33000000000004</v>
      </c>
      <c r="P18" s="72">
        <f>IF($H18="","",VLOOKUP($H18,'Indoor Data'!$B$6:$O$57,7,FALSE))</f>
        <v>0.215</v>
      </c>
      <c r="Q18" s="70" t="str">
        <f>IF($H18="","",VLOOKUP($H18,'Indoor Data'!$B$6:$O$57,8,FALSE))</f>
        <v>39 - 43</v>
      </c>
      <c r="R18" s="70" t="str">
        <f>IF($H18="","",VLOOKUP($H18,'Indoor Data'!$B$6:$O$57,9,FALSE))</f>
        <v>230V 1ph</v>
      </c>
      <c r="S18" s="70">
        <f>IF($H18="","",VLOOKUP($H18,'Indoor Data'!$B$6:$O$57,10,FALSE))</f>
        <v>2.9</v>
      </c>
      <c r="T18" s="70" t="str">
        <f>IF($H18="","",VLOOKUP($H18,'Indoor Data'!$B$6:$O$57,11,FALSE))</f>
        <v>1,400 x 300 x 700</v>
      </c>
      <c r="U18" s="73">
        <f>IF($H18="","",VLOOKUP($H18,'Indoor Data'!$B$6:$O$57,12,FALSE))</f>
        <v>45</v>
      </c>
      <c r="V18" s="74"/>
      <c r="W18" s="75"/>
      <c r="X18" s="76"/>
      <c r="Y18" s="2"/>
      <c r="Z18" s="2"/>
      <c r="AA18" s="2"/>
      <c r="AB18" s="78"/>
      <c r="AC18" s="5"/>
      <c r="AD18" s="24"/>
      <c r="AE18" s="24"/>
      <c r="AF18" s="24"/>
      <c r="AG18" s="8"/>
      <c r="AH18" s="9"/>
    </row>
    <row r="19" spans="2:38" x14ac:dyDescent="0.25">
      <c r="B19" s="104"/>
      <c r="C19" s="58" t="s">
        <v>204</v>
      </c>
      <c r="D19" s="58" t="s">
        <v>205</v>
      </c>
      <c r="E19" s="13">
        <v>6</v>
      </c>
      <c r="F19" s="13">
        <v>4.7</v>
      </c>
      <c r="G19" s="18">
        <v>318</v>
      </c>
      <c r="H19" s="68" t="s">
        <v>73</v>
      </c>
      <c r="I19" s="69">
        <f>IF($H19="","",VLOOKUP($H19,'Indoor Data'!$B$6:$O$57,13,FALSE))</f>
        <v>63</v>
      </c>
      <c r="J19" s="70" t="str">
        <f>IF($H19="","",VLOOKUP($H19,'Indoor Data'!$B$6:$O$57,14,FALSE))</f>
        <v>India</v>
      </c>
      <c r="K19" s="70" t="str">
        <f>IF($H19="","",VLOOKUP($H19,'Indoor Data'!$B$6:$O$57,2,FALSE))</f>
        <v>Ducted</v>
      </c>
      <c r="L19" s="70" t="str">
        <f>IF($H19="","",VLOOKUP($H19,'Indoor Data'!$B$6:$O$57,3,FALSE))</f>
        <v>46 - 24.4/17.2</v>
      </c>
      <c r="M19" s="70">
        <f>IF($H19="","",VLOOKUP($H19,'Indoor Data'!$B$6:$O$57,4,FALSE))</f>
        <v>6.2</v>
      </c>
      <c r="N19" s="70">
        <f>IF($H19="","",VLOOKUP($H19,'Indoor Data'!$B$6:$O$57,5,FALSE))</f>
        <v>5.0999999999999996</v>
      </c>
      <c r="O19" s="71">
        <f>IF($H19="","",VLOOKUP($H19,'Indoor Data'!$B$6:$O$57,6,FALSE))</f>
        <v>325</v>
      </c>
      <c r="P19" s="72">
        <f>IF($H19="","",VLOOKUP($H19,'Indoor Data'!$B$6:$O$57,7,FALSE))</f>
        <v>0.13800000000000001</v>
      </c>
      <c r="Q19" s="70" t="str">
        <f>IF($H19="","",VLOOKUP($H19,'Indoor Data'!$B$6:$O$57,8,FALSE))</f>
        <v>38 - 42</v>
      </c>
      <c r="R19" s="70" t="str">
        <f>IF($H19="","",VLOOKUP($H19,'Indoor Data'!$B$6:$O$57,9,FALSE))</f>
        <v>230V 1ph</v>
      </c>
      <c r="S19" s="70">
        <f>IF($H19="","",VLOOKUP($H19,'Indoor Data'!$B$6:$O$57,10,FALSE))</f>
        <v>1.8</v>
      </c>
      <c r="T19" s="70" t="str">
        <f>IF($H19="","",VLOOKUP($H19,'Indoor Data'!$B$6:$O$57,11,FALSE))</f>
        <v>1,000 x 300 x 700</v>
      </c>
      <c r="U19" s="73">
        <f>IF($H19="","",VLOOKUP($H19,'Indoor Data'!$B$6:$O$57,12,FALSE))</f>
        <v>35</v>
      </c>
      <c r="V19" s="74"/>
      <c r="W19" s="75"/>
      <c r="X19" s="76"/>
      <c r="Y19" s="2"/>
      <c r="Z19" s="2"/>
      <c r="AA19" s="2"/>
      <c r="AB19" s="78"/>
      <c r="AC19" s="5"/>
      <c r="AD19" s="24"/>
      <c r="AE19" s="24"/>
      <c r="AF19" s="24"/>
      <c r="AG19" s="8"/>
      <c r="AH19" s="9"/>
    </row>
    <row r="20" spans="2:38" hidden="1" x14ac:dyDescent="0.25">
      <c r="B20" s="104"/>
      <c r="C20" s="58"/>
      <c r="D20" s="58"/>
      <c r="E20" s="13"/>
      <c r="F20" s="13"/>
      <c r="G20" s="18"/>
      <c r="H20" s="68"/>
      <c r="I20" s="69" t="str">
        <f>IF($H20="","",VLOOKUP($H20,'Indoor Data'!$B$6:$O$57,13,FALSE))</f>
        <v/>
      </c>
      <c r="J20" s="70" t="str">
        <f>IF($H20="","",VLOOKUP($H20,'Indoor Data'!$B$6:$O$57,14,FALSE))</f>
        <v/>
      </c>
      <c r="K20" s="70" t="str">
        <f>IF($H20="","",VLOOKUP($H20,'Indoor Data'!$B$6:$O$57,2,FALSE))</f>
        <v/>
      </c>
      <c r="L20" s="70" t="str">
        <f>IF($H20="","",VLOOKUP($H20,'Indoor Data'!$B$6:$O$57,3,FALSE))</f>
        <v/>
      </c>
      <c r="M20" s="70" t="str">
        <f>IF($H20="","",VLOOKUP($H20,'Indoor Data'!$B$6:$O$57,4,FALSE))</f>
        <v/>
      </c>
      <c r="N20" s="70" t="str">
        <f>IF($H20="","",VLOOKUP($H20,'Indoor Data'!$B$6:$O$57,5,FALSE))</f>
        <v/>
      </c>
      <c r="O20" s="71" t="str">
        <f>IF($H20="","",VLOOKUP($H20,'Indoor Data'!$B$6:$O$57,6,FALSE))</f>
        <v/>
      </c>
      <c r="P20" s="72" t="str">
        <f>IF($H20="","",VLOOKUP($H20,'Indoor Data'!$B$6:$O$57,7,FALSE))</f>
        <v/>
      </c>
      <c r="Q20" s="70" t="str">
        <f>IF($H20="","",VLOOKUP($H20,'Indoor Data'!$B$6:$O$57,8,FALSE))</f>
        <v/>
      </c>
      <c r="R20" s="70" t="str">
        <f>IF($H20="","",VLOOKUP($H20,'Indoor Data'!$B$6:$O$57,9,FALSE))</f>
        <v/>
      </c>
      <c r="S20" s="70" t="str">
        <f>IF($H20="","",VLOOKUP($H20,'Indoor Data'!$B$6:$O$57,10,FALSE))</f>
        <v/>
      </c>
      <c r="T20" s="70" t="str">
        <f>IF($H20="","",VLOOKUP($H20,'Indoor Data'!$B$6:$O$57,11,FALSE))</f>
        <v/>
      </c>
      <c r="U20" s="73" t="str">
        <f>IF($H20="","",VLOOKUP($H20,'Indoor Data'!$B$6:$O$57,12,FALSE))</f>
        <v/>
      </c>
      <c r="V20" s="74"/>
      <c r="W20" s="75"/>
      <c r="X20" s="76"/>
      <c r="Y20" s="2"/>
      <c r="Z20" s="2"/>
      <c r="AA20" s="2"/>
      <c r="AB20" s="78"/>
      <c r="AC20" s="5"/>
      <c r="AD20" s="24"/>
      <c r="AE20" s="24"/>
      <c r="AF20" s="24"/>
      <c r="AG20" s="8"/>
      <c r="AH20" s="9"/>
    </row>
    <row r="21" spans="2:38" hidden="1" x14ac:dyDescent="0.25">
      <c r="B21" s="104"/>
      <c r="C21" s="58"/>
      <c r="D21" s="58"/>
      <c r="E21" s="13"/>
      <c r="F21" s="13"/>
      <c r="G21" s="18"/>
      <c r="H21" s="68"/>
      <c r="I21" s="69" t="str">
        <f>IF($H21="","",VLOOKUP($H21,'Indoor Data'!$B$6:$O$57,13,FALSE))</f>
        <v/>
      </c>
      <c r="J21" s="70" t="str">
        <f>IF($H21="","",VLOOKUP($H21,'Indoor Data'!$B$6:$O$57,14,FALSE))</f>
        <v/>
      </c>
      <c r="K21" s="70" t="str">
        <f>IF($H21="","",VLOOKUP($H21,'Indoor Data'!$B$6:$O$57,2,FALSE))</f>
        <v/>
      </c>
      <c r="L21" s="70" t="str">
        <f>IF($H21="","",VLOOKUP($H21,'Indoor Data'!$B$6:$O$57,3,FALSE))</f>
        <v/>
      </c>
      <c r="M21" s="70" t="str">
        <f>IF($H21="","",VLOOKUP($H21,'Indoor Data'!$B$6:$O$57,4,FALSE))</f>
        <v/>
      </c>
      <c r="N21" s="70" t="str">
        <f>IF($H21="","",VLOOKUP($H21,'Indoor Data'!$B$6:$O$57,5,FALSE))</f>
        <v/>
      </c>
      <c r="O21" s="71" t="str">
        <f>IF($H21="","",VLOOKUP($H21,'Indoor Data'!$B$6:$O$57,6,FALSE))</f>
        <v/>
      </c>
      <c r="P21" s="72" t="str">
        <f>IF($H21="","",VLOOKUP($H21,'Indoor Data'!$B$6:$O$57,7,FALSE))</f>
        <v/>
      </c>
      <c r="Q21" s="70" t="str">
        <f>IF($H21="","",VLOOKUP($H21,'Indoor Data'!$B$6:$O$57,8,FALSE))</f>
        <v/>
      </c>
      <c r="R21" s="70" t="str">
        <f>IF($H21="","",VLOOKUP($H21,'Indoor Data'!$B$6:$O$57,9,FALSE))</f>
        <v/>
      </c>
      <c r="S21" s="70" t="str">
        <f>IF($H21="","",VLOOKUP($H21,'Indoor Data'!$B$6:$O$57,10,FALSE))</f>
        <v/>
      </c>
      <c r="T21" s="70" t="str">
        <f>IF($H21="","",VLOOKUP($H21,'Indoor Data'!$B$6:$O$57,11,FALSE))</f>
        <v/>
      </c>
      <c r="U21" s="73" t="str">
        <f>IF($H21="","",VLOOKUP($H21,'Indoor Data'!$B$6:$O$57,12,FALSE))</f>
        <v/>
      </c>
      <c r="V21" s="74"/>
      <c r="W21" s="75"/>
      <c r="X21" s="76"/>
      <c r="Y21" s="2"/>
      <c r="Z21" s="2"/>
      <c r="AA21" s="2"/>
      <c r="AB21" s="78"/>
      <c r="AC21" s="5"/>
      <c r="AD21" s="24"/>
      <c r="AE21" s="24"/>
      <c r="AF21" s="24"/>
      <c r="AG21" s="8"/>
      <c r="AH21" s="9"/>
    </row>
    <row r="22" spans="2:38" hidden="1" x14ac:dyDescent="0.25">
      <c r="B22" s="104"/>
      <c r="C22" s="58"/>
      <c r="D22" s="58"/>
      <c r="E22" s="13"/>
      <c r="F22" s="13"/>
      <c r="G22" s="18"/>
      <c r="H22" s="68"/>
      <c r="I22" s="69" t="str">
        <f>IF($H22="","",VLOOKUP($H22,'Indoor Data'!$B$6:$O$57,13,FALSE))</f>
        <v/>
      </c>
      <c r="J22" s="70" t="str">
        <f>IF($H22="","",VLOOKUP($H22,'Indoor Data'!$B$6:$O$57,14,FALSE))</f>
        <v/>
      </c>
      <c r="K22" s="70" t="str">
        <f>IF($H22="","",VLOOKUP($H22,'Indoor Data'!$B$6:$O$57,2,FALSE))</f>
        <v/>
      </c>
      <c r="L22" s="70" t="str">
        <f>IF($H22="","",VLOOKUP($H22,'Indoor Data'!$B$6:$O$57,3,FALSE))</f>
        <v/>
      </c>
      <c r="M22" s="70" t="str">
        <f>IF($H22="","",VLOOKUP($H22,'Indoor Data'!$B$6:$O$57,4,FALSE))</f>
        <v/>
      </c>
      <c r="N22" s="70" t="str">
        <f>IF($H22="","",VLOOKUP($H22,'Indoor Data'!$B$6:$O$57,5,FALSE))</f>
        <v/>
      </c>
      <c r="O22" s="71" t="str">
        <f>IF($H22="","",VLOOKUP($H22,'Indoor Data'!$B$6:$O$57,6,FALSE))</f>
        <v/>
      </c>
      <c r="P22" s="72" t="str">
        <f>IF($H22="","",VLOOKUP($H22,'Indoor Data'!$B$6:$O$57,7,FALSE))</f>
        <v/>
      </c>
      <c r="Q22" s="70" t="str">
        <f>IF($H22="","",VLOOKUP($H22,'Indoor Data'!$B$6:$O$57,8,FALSE))</f>
        <v/>
      </c>
      <c r="R22" s="70" t="str">
        <f>IF($H22="","",VLOOKUP($H22,'Indoor Data'!$B$6:$O$57,9,FALSE))</f>
        <v/>
      </c>
      <c r="S22" s="70" t="str">
        <f>IF($H22="","",VLOOKUP($H22,'Indoor Data'!$B$6:$O$57,10,FALSE))</f>
        <v/>
      </c>
      <c r="T22" s="70" t="str">
        <f>IF($H22="","",VLOOKUP($H22,'Indoor Data'!$B$6:$O$57,11,FALSE))</f>
        <v/>
      </c>
      <c r="U22" s="73" t="str">
        <f>IF($H22="","",VLOOKUP($H22,'Indoor Data'!$B$6:$O$57,12,FALSE))</f>
        <v/>
      </c>
      <c r="V22" s="74"/>
      <c r="W22" s="75"/>
      <c r="X22" s="76"/>
      <c r="Y22" s="2"/>
      <c r="Z22" s="2"/>
      <c r="AA22" s="2"/>
      <c r="AB22" s="78"/>
      <c r="AC22" s="5"/>
      <c r="AD22" s="24"/>
      <c r="AE22" s="24"/>
      <c r="AF22" s="24"/>
      <c r="AG22" s="8"/>
      <c r="AH22" s="9"/>
    </row>
    <row r="23" spans="2:38" hidden="1" x14ac:dyDescent="0.25">
      <c r="B23" s="104"/>
      <c r="C23" s="58"/>
      <c r="D23" s="58"/>
      <c r="E23" s="13"/>
      <c r="F23" s="13"/>
      <c r="G23" s="18"/>
      <c r="H23" s="68"/>
      <c r="I23" s="69" t="str">
        <f>IF($H23="","",VLOOKUP($H23,'Indoor Data'!$B$6:$O$57,13,FALSE))</f>
        <v/>
      </c>
      <c r="J23" s="70" t="str">
        <f>IF($H23="","",VLOOKUP($H23,'Indoor Data'!$B$6:$O$57,14,FALSE))</f>
        <v/>
      </c>
      <c r="K23" s="70" t="str">
        <f>IF($H23="","",VLOOKUP($H23,'Indoor Data'!$B$6:$O$57,2,FALSE))</f>
        <v/>
      </c>
      <c r="L23" s="70" t="str">
        <f>IF($H23="","",VLOOKUP($H23,'Indoor Data'!$B$6:$O$57,3,FALSE))</f>
        <v/>
      </c>
      <c r="M23" s="70" t="str">
        <f>IF($H23="","",VLOOKUP($H23,'Indoor Data'!$B$6:$O$57,4,FALSE))</f>
        <v/>
      </c>
      <c r="N23" s="70" t="str">
        <f>IF($H23="","",VLOOKUP($H23,'Indoor Data'!$B$6:$O$57,5,FALSE))</f>
        <v/>
      </c>
      <c r="O23" s="71" t="str">
        <f>IF($H23="","",VLOOKUP($H23,'Indoor Data'!$B$6:$O$57,6,FALSE))</f>
        <v/>
      </c>
      <c r="P23" s="72" t="str">
        <f>IF($H23="","",VLOOKUP($H23,'Indoor Data'!$B$6:$O$57,7,FALSE))</f>
        <v/>
      </c>
      <c r="Q23" s="70" t="str">
        <f>IF($H23="","",VLOOKUP($H23,'Indoor Data'!$B$6:$O$57,8,FALSE))</f>
        <v/>
      </c>
      <c r="R23" s="70" t="str">
        <f>IF($H23="","",VLOOKUP($H23,'Indoor Data'!$B$6:$O$57,9,FALSE))</f>
        <v/>
      </c>
      <c r="S23" s="70" t="str">
        <f>IF($H23="","",VLOOKUP($H23,'Indoor Data'!$B$6:$O$57,10,FALSE))</f>
        <v/>
      </c>
      <c r="T23" s="70" t="str">
        <f>IF($H23="","",VLOOKUP($H23,'Indoor Data'!$B$6:$O$57,11,FALSE))</f>
        <v/>
      </c>
      <c r="U23" s="73" t="str">
        <f>IF($H23="","",VLOOKUP($H23,'Indoor Data'!$B$6:$O$57,12,FALSE))</f>
        <v/>
      </c>
      <c r="V23" s="74"/>
      <c r="W23" s="75"/>
      <c r="X23" s="76"/>
      <c r="Y23" s="2"/>
      <c r="Z23" s="2"/>
      <c r="AA23" s="2"/>
      <c r="AB23" s="78"/>
      <c r="AC23" s="5"/>
      <c r="AD23" s="24"/>
      <c r="AE23" s="24"/>
      <c r="AF23" s="24"/>
      <c r="AG23" s="8"/>
      <c r="AH23" s="9"/>
    </row>
    <row r="24" spans="2:38" hidden="1" x14ac:dyDescent="0.25">
      <c r="B24" s="104"/>
      <c r="C24" s="58"/>
      <c r="D24" s="58"/>
      <c r="E24" s="13"/>
      <c r="F24" s="13"/>
      <c r="G24" s="18"/>
      <c r="H24" s="68"/>
      <c r="I24" s="69" t="str">
        <f>IF($H24="","",VLOOKUP($H24,'Indoor Data'!$B$6:$O$57,13,FALSE))</f>
        <v/>
      </c>
      <c r="J24" s="70" t="str">
        <f>IF($H24="","",VLOOKUP($H24,'Indoor Data'!$B$6:$O$57,14,FALSE))</f>
        <v/>
      </c>
      <c r="K24" s="70" t="str">
        <f>IF($H24="","",VLOOKUP($H24,'Indoor Data'!$B$6:$O$57,2,FALSE))</f>
        <v/>
      </c>
      <c r="L24" s="70" t="str">
        <f>IF($H24="","",VLOOKUP($H24,'Indoor Data'!$B$6:$O$57,3,FALSE))</f>
        <v/>
      </c>
      <c r="M24" s="70" t="str">
        <f>IF($H24="","",VLOOKUP($H24,'Indoor Data'!$B$6:$O$57,4,FALSE))</f>
        <v/>
      </c>
      <c r="N24" s="70" t="str">
        <f>IF($H24="","",VLOOKUP($H24,'Indoor Data'!$B$6:$O$57,5,FALSE))</f>
        <v/>
      </c>
      <c r="O24" s="71" t="str">
        <f>IF($H24="","",VLOOKUP($H24,'Indoor Data'!$B$6:$O$57,6,FALSE))</f>
        <v/>
      </c>
      <c r="P24" s="72" t="str">
        <f>IF($H24="","",VLOOKUP($H24,'Indoor Data'!$B$6:$O$57,7,FALSE))</f>
        <v/>
      </c>
      <c r="Q24" s="70" t="str">
        <f>IF($H24="","",VLOOKUP($H24,'Indoor Data'!$B$6:$O$57,8,FALSE))</f>
        <v/>
      </c>
      <c r="R24" s="70" t="str">
        <f>IF($H24="","",VLOOKUP($H24,'Indoor Data'!$B$6:$O$57,9,FALSE))</f>
        <v/>
      </c>
      <c r="S24" s="70" t="str">
        <f>IF($H24="","",VLOOKUP($H24,'Indoor Data'!$B$6:$O$57,10,FALSE))</f>
        <v/>
      </c>
      <c r="T24" s="70" t="str">
        <f>IF($H24="","",VLOOKUP($H24,'Indoor Data'!$B$6:$O$57,11,FALSE))</f>
        <v/>
      </c>
      <c r="U24" s="73" t="str">
        <f>IF($H24="","",VLOOKUP($H24,'Indoor Data'!$B$6:$O$57,12,FALSE))</f>
        <v/>
      </c>
      <c r="V24" s="74"/>
      <c r="W24" s="75"/>
      <c r="X24" s="76"/>
      <c r="Y24" s="2"/>
      <c r="Z24" s="2"/>
      <c r="AA24" s="2"/>
      <c r="AB24" s="78"/>
      <c r="AC24" s="5"/>
      <c r="AD24" s="24"/>
      <c r="AE24" s="24"/>
      <c r="AF24" s="24"/>
      <c r="AG24" s="8"/>
      <c r="AH24" s="9"/>
    </row>
    <row r="25" spans="2:38" hidden="1" x14ac:dyDescent="0.25">
      <c r="B25" s="105"/>
      <c r="C25" s="58"/>
      <c r="D25" s="58"/>
      <c r="E25" s="13"/>
      <c r="F25" s="13"/>
      <c r="G25" s="18"/>
      <c r="H25" s="68"/>
      <c r="I25" s="69" t="str">
        <f>IF($H25="","",VLOOKUP($H25,'Indoor Data'!$B$6:$O$57,13,FALSE))</f>
        <v/>
      </c>
      <c r="J25" s="70" t="str">
        <f>IF($H25="","",VLOOKUP($H25,'Indoor Data'!$B$6:$O$57,14,FALSE))</f>
        <v/>
      </c>
      <c r="K25" s="70" t="str">
        <f>IF($H25="","",VLOOKUP($H25,'Indoor Data'!$B$6:$O$57,2,FALSE))</f>
        <v/>
      </c>
      <c r="L25" s="70" t="str">
        <f>IF($H25="","",VLOOKUP($H25,'Indoor Data'!$B$6:$O$57,3,FALSE))</f>
        <v/>
      </c>
      <c r="M25" s="70" t="str">
        <f>IF($H25="","",VLOOKUP($H25,'Indoor Data'!$B$6:$O$57,4,FALSE))</f>
        <v/>
      </c>
      <c r="N25" s="70" t="str">
        <f>IF($H25="","",VLOOKUP($H25,'Indoor Data'!$B$6:$O$57,5,FALSE))</f>
        <v/>
      </c>
      <c r="O25" s="71" t="str">
        <f>IF($H25="","",VLOOKUP($H25,'Indoor Data'!$B$6:$O$57,6,FALSE))</f>
        <v/>
      </c>
      <c r="P25" s="72" t="str">
        <f>IF($H25="","",VLOOKUP($H25,'Indoor Data'!$B$6:$O$57,7,FALSE))</f>
        <v/>
      </c>
      <c r="Q25" s="70" t="str">
        <f>IF($H25="","",VLOOKUP($H25,'Indoor Data'!$B$6:$O$57,8,FALSE))</f>
        <v/>
      </c>
      <c r="R25" s="70" t="str">
        <f>IF($H25="","",VLOOKUP($H25,'Indoor Data'!$B$6:$O$57,9,FALSE))</f>
        <v/>
      </c>
      <c r="S25" s="70" t="str">
        <f>IF($H25="","",VLOOKUP($H25,'Indoor Data'!$B$6:$O$57,10,FALSE))</f>
        <v/>
      </c>
      <c r="T25" s="70" t="str">
        <f>IF($H25="","",VLOOKUP($H25,'Indoor Data'!$B$6:$O$57,11,FALSE))</f>
        <v/>
      </c>
      <c r="U25" s="73" t="str">
        <f>IF($H25="","",VLOOKUP($H25,'Indoor Data'!$B$6:$O$57,12,FALSE))</f>
        <v/>
      </c>
      <c r="V25" s="79"/>
      <c r="W25" s="78"/>
      <c r="X25" s="80"/>
      <c r="Y25" s="78"/>
      <c r="Z25" s="78"/>
      <c r="AA25" s="78"/>
      <c r="AB25" s="7"/>
      <c r="AC25" s="8"/>
      <c r="AD25" s="3"/>
      <c r="AE25" s="3"/>
      <c r="AF25" s="3"/>
      <c r="AG25" s="5"/>
      <c r="AH25" s="4"/>
    </row>
    <row r="26" spans="2:38" ht="15" thickBot="1" x14ac:dyDescent="0.3">
      <c r="B26" s="31"/>
      <c r="C26" s="32"/>
      <c r="D26" s="32"/>
      <c r="E26" s="33">
        <f>SUM(E11:E25)</f>
        <v>41</v>
      </c>
      <c r="F26" s="33">
        <f>SUM(F11:F25)</f>
        <v>31.499999999999996</v>
      </c>
      <c r="G26" s="56">
        <f>SUM(G11:G25)</f>
        <v>2114</v>
      </c>
      <c r="H26" s="55"/>
      <c r="I26" s="51">
        <f>SUM(I11:I25)</f>
        <v>483</v>
      </c>
      <c r="J26" s="36"/>
      <c r="K26" s="36"/>
      <c r="L26" s="36"/>
      <c r="M26" s="37">
        <f>SUM(M11:M25)</f>
        <v>47.7</v>
      </c>
      <c r="N26" s="37">
        <f>SUM(N11:N25)</f>
        <v>40.1</v>
      </c>
      <c r="O26" s="38">
        <f>SUM(O11:O25)</f>
        <v>2858.34</v>
      </c>
      <c r="P26" s="39">
        <f>SUM(P11:P25)</f>
        <v>1.3180000000000001</v>
      </c>
      <c r="Q26" s="36"/>
      <c r="R26" s="36"/>
      <c r="S26" s="40"/>
      <c r="T26" s="36"/>
      <c r="U26" s="41"/>
      <c r="V26" s="42"/>
      <c r="W26" s="43"/>
      <c r="X26" s="50">
        <f>X16+X15+X14+X12</f>
        <v>450</v>
      </c>
      <c r="Y26" s="43"/>
      <c r="Z26" s="43"/>
      <c r="AA26" s="43"/>
      <c r="AB26" s="44">
        <f>SUM(AB11:AB25)</f>
        <v>15.5</v>
      </c>
      <c r="AC26" s="43"/>
      <c r="AD26" s="43"/>
      <c r="AE26" s="43"/>
      <c r="AF26" s="43"/>
      <c r="AG26" s="43"/>
      <c r="AH26" s="45"/>
    </row>
    <row r="27" spans="2:38" ht="15" thickBot="1" x14ac:dyDescent="0.3">
      <c r="B27" s="119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1"/>
    </row>
    <row r="28" spans="2:38" x14ac:dyDescent="0.25">
      <c r="B28" s="103" t="s">
        <v>208</v>
      </c>
      <c r="C28" s="57" t="s">
        <v>210</v>
      </c>
      <c r="D28" s="57" t="s">
        <v>211</v>
      </c>
      <c r="E28" s="16">
        <v>5</v>
      </c>
      <c r="F28" s="16">
        <v>3.8</v>
      </c>
      <c r="G28" s="17">
        <v>249</v>
      </c>
      <c r="H28" s="81" t="s">
        <v>73</v>
      </c>
      <c r="I28" s="82">
        <f>IF($H28="","",VLOOKUP($H28,'Indoor Data'!$B$6:$O$57,13,FALSE))</f>
        <v>63</v>
      </c>
      <c r="J28" s="61" t="str">
        <f>IF($H28="","",VLOOKUP($H28,'Indoor Data'!$B$6:$O$57,14,FALSE))</f>
        <v>India</v>
      </c>
      <c r="K28" s="61" t="str">
        <f>IF($H28="","",VLOOKUP($H28,'Indoor Data'!$B$6:$O$57,2,FALSE))</f>
        <v>Ducted</v>
      </c>
      <c r="L28" s="61" t="str">
        <f>IF($H28="","",VLOOKUP($H28,'Indoor Data'!$B$6:$O$57,3,FALSE))</f>
        <v>46 - 24.4/17.2</v>
      </c>
      <c r="M28" s="61">
        <f>IF($H28="","",VLOOKUP($H28,'Indoor Data'!$B$6:$O$57,4,FALSE))</f>
        <v>6.2</v>
      </c>
      <c r="N28" s="61">
        <f>IF($H28="","",VLOOKUP($H28,'Indoor Data'!$B$6:$O$57,5,FALSE))</f>
        <v>5.0999999999999996</v>
      </c>
      <c r="O28" s="62">
        <f>IF($H28="","",VLOOKUP($H28,'Indoor Data'!$B$6:$O$57,6,FALSE))</f>
        <v>325</v>
      </c>
      <c r="P28" s="63">
        <f>IF($H28="","",VLOOKUP($H28,'Indoor Data'!$B$6:$O$57,7,FALSE))</f>
        <v>0.13800000000000001</v>
      </c>
      <c r="Q28" s="61" t="str">
        <f>IF($H28="","",VLOOKUP($H28,'Indoor Data'!$B$6:$O$57,8,FALSE))</f>
        <v>38 - 42</v>
      </c>
      <c r="R28" s="61" t="str">
        <f>IF($H28="","",VLOOKUP($H28,'Indoor Data'!$B$6:$O$57,9,FALSE))</f>
        <v>230V 1ph</v>
      </c>
      <c r="S28" s="61">
        <f>IF($H28="","",VLOOKUP($H28,'Indoor Data'!$B$6:$O$57,10,FALSE))</f>
        <v>1.8</v>
      </c>
      <c r="T28" s="61" t="str">
        <f>IF($H28="","",VLOOKUP($H28,'Indoor Data'!$B$6:$O$57,11,FALSE))</f>
        <v>1,000 x 300 x 700</v>
      </c>
      <c r="U28" s="61">
        <f>IF($H28="","",VLOOKUP($H28,'Indoor Data'!$B$6:$O$57,12,FALSE))</f>
        <v>35</v>
      </c>
      <c r="V28" s="65"/>
      <c r="W28" s="66"/>
      <c r="X28" s="67"/>
      <c r="Y28" s="66"/>
      <c r="Z28" s="66"/>
      <c r="AA28" s="66"/>
      <c r="AB28" s="66"/>
      <c r="AC28" s="10"/>
      <c r="AD28" s="10"/>
      <c r="AE28" s="10"/>
      <c r="AF28" s="10"/>
      <c r="AG28" s="10"/>
      <c r="AH28" s="11"/>
    </row>
    <row r="29" spans="2:38" x14ac:dyDescent="0.25">
      <c r="B29" s="104"/>
      <c r="C29" s="58" t="s">
        <v>212</v>
      </c>
      <c r="D29" s="58" t="s">
        <v>213</v>
      </c>
      <c r="E29" s="13">
        <v>12.5</v>
      </c>
      <c r="F29" s="13">
        <v>10.4</v>
      </c>
      <c r="G29" s="18">
        <v>765</v>
      </c>
      <c r="H29" s="83" t="s">
        <v>77</v>
      </c>
      <c r="I29" s="84">
        <f>IF($H29="","",VLOOKUP($H29,'Indoor Data'!$B$6:$O$57,13,FALSE))</f>
        <v>140</v>
      </c>
      <c r="J29" s="70" t="str">
        <f>IF($H29="","",VLOOKUP($H29,'Indoor Data'!$B$6:$O$57,14,FALSE))</f>
        <v>India</v>
      </c>
      <c r="K29" s="70" t="str">
        <f>IF($H29="","",VLOOKUP($H29,'Indoor Data'!$B$6:$O$57,2,FALSE))</f>
        <v>Ducted</v>
      </c>
      <c r="L29" s="70" t="str">
        <f>IF($H29="","",VLOOKUP($H29,'Indoor Data'!$B$6:$O$57,3,FALSE))</f>
        <v>46 - 24.4/17.2</v>
      </c>
      <c r="M29" s="70">
        <f>IF($H29="","",VLOOKUP($H29,'Indoor Data'!$B$6:$O$57,4,FALSE))</f>
        <v>14.2</v>
      </c>
      <c r="N29" s="70">
        <f>IF($H29="","",VLOOKUP($H29,'Indoor Data'!$B$6:$O$57,5,FALSE))</f>
        <v>10.9</v>
      </c>
      <c r="O29" s="71">
        <f>IF($H29="","",VLOOKUP($H29,'Indoor Data'!$B$6:$O$57,6,FALSE))</f>
        <v>766.67</v>
      </c>
      <c r="P29" s="72">
        <f>IF($H29="","",VLOOKUP($H29,'Indoor Data'!$B$6:$O$57,7,FALSE))</f>
        <v>0.40500000000000003</v>
      </c>
      <c r="Q29" s="70" t="str">
        <f>IF($H29="","",VLOOKUP($H29,'Indoor Data'!$B$6:$O$57,8,FALSE))</f>
        <v>43 - 46</v>
      </c>
      <c r="R29" s="70" t="str">
        <f>IF($H29="","",VLOOKUP($H29,'Indoor Data'!$B$6:$O$57,9,FALSE))</f>
        <v>230V 1ph</v>
      </c>
      <c r="S29" s="70">
        <f>IF($H29="","",VLOOKUP($H29,'Indoor Data'!$B$6:$O$57,10,FALSE))</f>
        <v>3.4</v>
      </c>
      <c r="T29" s="70" t="str">
        <f>IF($H29="","",VLOOKUP($H29,'Indoor Data'!$B$6:$O$57,11,FALSE))</f>
        <v>1,400 x 300 x 700</v>
      </c>
      <c r="U29" s="70">
        <f>IF($H29="","",VLOOKUP($H29,'Indoor Data'!$B$6:$O$57,12,FALSE))</f>
        <v>46</v>
      </c>
      <c r="V29" s="74"/>
      <c r="W29" s="75"/>
      <c r="X29" s="76">
        <f>IF($W29="",0,VLOOKUP($W29,'Outdoor Data'!$B$6:$L$16,11,FALSE))</f>
        <v>0</v>
      </c>
      <c r="Y29" s="75" t="str">
        <f>IF($W29="","",VLOOKUP($W29,'Outdoor Data'!$B$6:$L$16,2,FALSE))</f>
        <v/>
      </c>
      <c r="Z29" s="75" t="str">
        <f>IF($W29="","",VLOOKUP($W29,'Outdoor Data'!$B$6:$L$16,3,FALSE))</f>
        <v/>
      </c>
      <c r="AA29" s="77" t="str">
        <f>IF(W29="","",I43/X43)</f>
        <v/>
      </c>
      <c r="AB29" s="75" t="str">
        <f>IF($W29="","",VLOOKUP($W29,'Outdoor Data'!$B$6:$L$16,4,FALSE))</f>
        <v/>
      </c>
      <c r="AC29" s="5" t="str">
        <f>IF($W29="","",VLOOKUP($W29,'Outdoor Data'!$B$6:$L$16,5,FALSE))</f>
        <v/>
      </c>
      <c r="AD29" s="5" t="str">
        <f>IF($W29="","",VLOOKUP($W29,'Outdoor Data'!$B$6:$L$16,6,FALSE))</f>
        <v/>
      </c>
      <c r="AE29" s="5" t="str">
        <f>IF($W29="","",VLOOKUP($W29,'Outdoor Data'!$B$6:$L$16,7,FALSE))</f>
        <v/>
      </c>
      <c r="AF29" s="5" t="str">
        <f>IF($W29="","",VLOOKUP($W29,'Outdoor Data'!$B$6:$L$16,8,FALSE))</f>
        <v/>
      </c>
      <c r="AG29" s="5" t="str">
        <f>IF($W29="","",VLOOKUP($W29,'Outdoor Data'!$B$6:$L$16,9,FALSE))</f>
        <v/>
      </c>
      <c r="AH29" s="48" t="str">
        <f>IF($W29="","",VLOOKUP($W29,'Outdoor Data'!$B$6:$L$16,10,FALSE))</f>
        <v/>
      </c>
    </row>
    <row r="30" spans="2:38" x14ac:dyDescent="0.25">
      <c r="B30" s="104"/>
      <c r="C30" s="58" t="s">
        <v>214</v>
      </c>
      <c r="D30" s="58" t="s">
        <v>215</v>
      </c>
      <c r="E30" s="13">
        <v>4.5999999999999996</v>
      </c>
      <c r="F30" s="13">
        <v>3.5</v>
      </c>
      <c r="G30" s="18">
        <v>221</v>
      </c>
      <c r="H30" s="83" t="s">
        <v>72</v>
      </c>
      <c r="I30" s="84">
        <f>IF($H30="","",VLOOKUP($H30,'Indoor Data'!$B$6:$O$57,13,FALSE))</f>
        <v>50</v>
      </c>
      <c r="J30" s="70" t="str">
        <f>IF($H30="","",VLOOKUP($H30,'Indoor Data'!$B$6:$O$57,14,FALSE))</f>
        <v>India</v>
      </c>
      <c r="K30" s="70" t="str">
        <f>IF($H30="","",VLOOKUP($H30,'Indoor Data'!$B$6:$O$57,2,FALSE))</f>
        <v>Ducted</v>
      </c>
      <c r="L30" s="70" t="str">
        <f>IF($H30="","",VLOOKUP($H30,'Indoor Data'!$B$6:$O$57,3,FALSE))</f>
        <v>46 - 24.4/17.2</v>
      </c>
      <c r="M30" s="70">
        <f>IF($H30="","",VLOOKUP($H30,'Indoor Data'!$B$6:$O$57,4,FALSE))</f>
        <v>4.9000000000000004</v>
      </c>
      <c r="N30" s="70">
        <f>IF($H30="","",VLOOKUP($H30,'Indoor Data'!$B$6:$O$57,5,FALSE))</f>
        <v>4.2</v>
      </c>
      <c r="O30" s="71">
        <f>IF($H30="","",VLOOKUP($H30,'Indoor Data'!$B$6:$O$57,6,FALSE))</f>
        <v>300</v>
      </c>
      <c r="P30" s="72">
        <f>IF($H30="","",VLOOKUP($H30,'Indoor Data'!$B$6:$O$57,7,FALSE))</f>
        <v>0.128</v>
      </c>
      <c r="Q30" s="70" t="str">
        <f>IF($H30="","",VLOOKUP($H30,'Indoor Data'!$B$6:$O$57,8,FALSE))</f>
        <v>37 - 41</v>
      </c>
      <c r="R30" s="70" t="str">
        <f>IF($H30="","",VLOOKUP($H30,'Indoor Data'!$B$6:$O$57,9,FALSE))</f>
        <v>230V 1ph</v>
      </c>
      <c r="S30" s="70">
        <f>IF($H30="","",VLOOKUP($H30,'Indoor Data'!$B$6:$O$57,10,FALSE))</f>
        <v>1.6</v>
      </c>
      <c r="T30" s="70" t="str">
        <f>IF($H30="","",VLOOKUP($H30,'Indoor Data'!$B$6:$O$57,11,FALSE))</f>
        <v>1,000 x 300 x 700</v>
      </c>
      <c r="U30" s="70">
        <f>IF($H30="","",VLOOKUP($H30,'Indoor Data'!$B$6:$O$57,12,FALSE))</f>
        <v>35</v>
      </c>
      <c r="V30" s="74" t="s">
        <v>208</v>
      </c>
      <c r="W30" s="75" t="s">
        <v>209</v>
      </c>
      <c r="X30" s="76"/>
      <c r="Y30" s="75">
        <v>46</v>
      </c>
      <c r="Z30" s="75">
        <v>43.9</v>
      </c>
      <c r="AA30" s="77">
        <f>IF(W31="","",I43/X43)</f>
        <v>1.026</v>
      </c>
      <c r="AB30" s="75"/>
      <c r="AC30" s="5"/>
      <c r="AD30" s="5"/>
      <c r="AE30" s="5"/>
      <c r="AF30" s="5"/>
      <c r="AG30" s="5"/>
      <c r="AH30" s="48"/>
      <c r="AJ30" s="52" t="s">
        <v>185</v>
      </c>
      <c r="AK30" s="53">
        <v>1.1000000000000001</v>
      </c>
      <c r="AL30" s="52"/>
    </row>
    <row r="31" spans="2:38" x14ac:dyDescent="0.25">
      <c r="B31" s="104"/>
      <c r="C31" s="58" t="s">
        <v>216</v>
      </c>
      <c r="D31" s="58" t="s">
        <v>217</v>
      </c>
      <c r="E31" s="13">
        <v>14.5</v>
      </c>
      <c r="F31" s="13">
        <v>11.7</v>
      </c>
      <c r="G31" s="18">
        <v>804</v>
      </c>
      <c r="H31" s="83" t="s">
        <v>78</v>
      </c>
      <c r="I31" s="84">
        <f>IF($H31="","",VLOOKUP($H31,'Indoor Data'!$B$6:$O$57,13,FALSE))</f>
        <v>170</v>
      </c>
      <c r="J31" s="70" t="str">
        <f>IF($H31="","",VLOOKUP($H31,'Indoor Data'!$B$6:$O$57,14,FALSE))</f>
        <v>India</v>
      </c>
      <c r="K31" s="70" t="str">
        <f>IF($H31="","",VLOOKUP($H31,'Indoor Data'!$B$6:$O$57,2,FALSE))</f>
        <v>Ducted</v>
      </c>
      <c r="L31" s="70" t="str">
        <f>IF($H31="","",VLOOKUP($H31,'Indoor Data'!$B$6:$O$57,3,FALSE))</f>
        <v>46 - 24.4/17.2</v>
      </c>
      <c r="M31" s="70">
        <f>IF($H31="","",VLOOKUP($H31,'Indoor Data'!$B$6:$O$57,4,FALSE))</f>
        <v>17.100000000000001</v>
      </c>
      <c r="N31" s="70">
        <f>IF($H31="","",VLOOKUP($H31,'Indoor Data'!$B$6:$O$57,5,FALSE))</f>
        <v>13.9</v>
      </c>
      <c r="O31" s="71">
        <f>IF($H31="","",VLOOKUP($H31,'Indoor Data'!$B$6:$O$57,6,FALSE))</f>
        <v>966.67</v>
      </c>
      <c r="P31" s="72">
        <f>IF($H31="","",VLOOKUP($H31,'Indoor Data'!$B$6:$O$57,7,FALSE))</f>
        <v>0.9</v>
      </c>
      <c r="Q31" s="70" t="str">
        <f>IF($H31="","",VLOOKUP($H31,'Indoor Data'!$B$6:$O$57,8,FALSE))</f>
        <v>42 - 45</v>
      </c>
      <c r="R31" s="70" t="str">
        <f>IF($H31="","",VLOOKUP($H31,'Indoor Data'!$B$6:$O$57,9,FALSE))</f>
        <v>220V 1ph</v>
      </c>
      <c r="S31" s="70">
        <f>IF($H31="","",VLOOKUP($H31,'Indoor Data'!$B$6:$O$57,10,FALSE))</f>
        <v>4.9000000000000004</v>
      </c>
      <c r="T31" s="70" t="str">
        <f>IF($H31="","",VLOOKUP($H31,'Indoor Data'!$B$6:$O$57,11,FALSE))</f>
        <v>1,190 x 440 x 1,090</v>
      </c>
      <c r="U31" s="70">
        <f>IF($H31="","",VLOOKUP($H31,'Indoor Data'!$B$6:$O$57,12,FALSE))</f>
        <v>110</v>
      </c>
      <c r="V31" s="74" t="s">
        <v>23</v>
      </c>
      <c r="W31" s="75" t="s">
        <v>166</v>
      </c>
      <c r="X31" s="76">
        <f>IF($W31="",0,VLOOKUP($W31,'Outdoor Data'!$B$6:$L$16,11,FALSE))</f>
        <v>300</v>
      </c>
      <c r="Y31" s="75"/>
      <c r="Z31" s="75"/>
      <c r="AA31" s="75"/>
      <c r="AB31" s="75">
        <f>IF($W31="","",VLOOKUP($W31,'Outdoor Data'!$B$6:$L$16,4,FALSE))</f>
        <v>10.4</v>
      </c>
      <c r="AC31" s="5" t="str">
        <f>IF($W31="","",VLOOKUP($W31,'Outdoor Data'!$B$6:$L$16,5,FALSE))</f>
        <v>400V 3Nph</v>
      </c>
      <c r="AD31" s="5">
        <f>IF($W31="","",VLOOKUP($W31,'Outdoor Data'!$B$6:$L$16,6,FALSE))</f>
        <v>26.9</v>
      </c>
      <c r="AE31" s="5" t="str">
        <f>IF($W31="","",VLOOKUP($W31,'Outdoor Data'!$B$6:$L$16,7,FALSE))</f>
        <v>-</v>
      </c>
      <c r="AF31" s="5" t="str">
        <f>IF($W31="","",VLOOKUP($W31,'Outdoor Data'!$B$6:$L$16,8,FALSE))</f>
        <v>-</v>
      </c>
      <c r="AG31" s="5" t="str">
        <f>IF($W31="","",VLOOKUP($W31,'Outdoor Data'!$B$6:$L$16,9,FALSE))</f>
        <v>1,240 x 1,657 x 765</v>
      </c>
      <c r="AH31" s="48">
        <f>IF($W31="","",VLOOKUP($W31,'Outdoor Data'!$B$6:$L$16,10,FALSE))</f>
        <v>220</v>
      </c>
      <c r="AJ31" s="52" t="s">
        <v>186</v>
      </c>
      <c r="AK31" s="54">
        <f>(I43/AK30)/25</f>
        <v>18.654545454545453</v>
      </c>
      <c r="AL31" s="52" t="s">
        <v>187</v>
      </c>
    </row>
    <row r="32" spans="2:38" x14ac:dyDescent="0.25">
      <c r="B32" s="104"/>
      <c r="C32" s="58" t="s">
        <v>218</v>
      </c>
      <c r="D32" s="58" t="s">
        <v>219</v>
      </c>
      <c r="E32" s="13">
        <v>4.5</v>
      </c>
      <c r="F32" s="13">
        <v>3.6</v>
      </c>
      <c r="G32" s="18">
        <v>246</v>
      </c>
      <c r="H32" s="83" t="s">
        <v>72</v>
      </c>
      <c r="I32" s="84">
        <f>IF($H32="","",VLOOKUP($H32,'Indoor Data'!$B$6:$O$57,13,FALSE))</f>
        <v>50</v>
      </c>
      <c r="J32" s="70" t="str">
        <f>IF($H32="","",VLOOKUP($H32,'Indoor Data'!$B$6:$O$57,14,FALSE))</f>
        <v>India</v>
      </c>
      <c r="K32" s="70" t="str">
        <f>IF($H32="","",VLOOKUP($H32,'Indoor Data'!$B$6:$O$57,2,FALSE))</f>
        <v>Ducted</v>
      </c>
      <c r="L32" s="70" t="str">
        <f>IF($H32="","",VLOOKUP($H32,'Indoor Data'!$B$6:$O$57,3,FALSE))</f>
        <v>46 - 24.4/17.2</v>
      </c>
      <c r="M32" s="70">
        <f>IF($H32="","",VLOOKUP($H32,'Indoor Data'!$B$6:$O$57,4,FALSE))</f>
        <v>4.9000000000000004</v>
      </c>
      <c r="N32" s="70">
        <f>IF($H32="","",VLOOKUP($H32,'Indoor Data'!$B$6:$O$57,5,FALSE))</f>
        <v>4.2</v>
      </c>
      <c r="O32" s="71">
        <f>IF($H32="","",VLOOKUP($H32,'Indoor Data'!$B$6:$O$57,6,FALSE))</f>
        <v>300</v>
      </c>
      <c r="P32" s="72">
        <f>IF($H32="","",VLOOKUP($H32,'Indoor Data'!$B$6:$O$57,7,FALSE))</f>
        <v>0.128</v>
      </c>
      <c r="Q32" s="70" t="str">
        <f>IF($H32="","",VLOOKUP($H32,'Indoor Data'!$B$6:$O$57,8,FALSE))</f>
        <v>37 - 41</v>
      </c>
      <c r="R32" s="70" t="str">
        <f>IF($H32="","",VLOOKUP($H32,'Indoor Data'!$B$6:$O$57,9,FALSE))</f>
        <v>230V 1ph</v>
      </c>
      <c r="S32" s="70">
        <f>IF($H32="","",VLOOKUP($H32,'Indoor Data'!$B$6:$O$57,10,FALSE))</f>
        <v>1.6</v>
      </c>
      <c r="T32" s="70" t="str">
        <f>IF($H32="","",VLOOKUP($H32,'Indoor Data'!$B$6:$O$57,11,FALSE))</f>
        <v>1,000 x 300 x 700</v>
      </c>
      <c r="U32" s="70">
        <f>IF($H32="","",VLOOKUP($H32,'Indoor Data'!$B$6:$O$57,12,FALSE))</f>
        <v>35</v>
      </c>
      <c r="V32" s="74" t="s">
        <v>41</v>
      </c>
      <c r="W32" s="75" t="s">
        <v>164</v>
      </c>
      <c r="X32" s="76">
        <f>IF($W32="",0,VLOOKUP($W32,'Outdoor Data'!$B$6:$L$16,11,FALSE))</f>
        <v>200</v>
      </c>
      <c r="Y32" s="75"/>
      <c r="Z32" s="75"/>
      <c r="AA32" s="75"/>
      <c r="AB32" s="75">
        <f>IF($W32="","",VLOOKUP($W32,'Outdoor Data'!$B$6:$L$16,4,FALSE))</f>
        <v>6.5</v>
      </c>
      <c r="AC32" s="5" t="str">
        <f>IF($W32="","",VLOOKUP($W32,'Outdoor Data'!$B$6:$L$16,5,FALSE))</f>
        <v>400V 3Nph</v>
      </c>
      <c r="AD32" s="5">
        <f>IF($W32="","",VLOOKUP($W32,'Outdoor Data'!$B$6:$L$16,6,FALSE))</f>
        <v>21.2</v>
      </c>
      <c r="AE32" s="5" t="str">
        <f>IF($W32="","",VLOOKUP($W32,'Outdoor Data'!$B$6:$L$16,7,FALSE))</f>
        <v>-</v>
      </c>
      <c r="AF32" s="5" t="str">
        <f>IF($W32="","",VLOOKUP($W32,'Outdoor Data'!$B$6:$L$16,8,FALSE))</f>
        <v>-</v>
      </c>
      <c r="AG32" s="5" t="str">
        <f>IF($W32="","",VLOOKUP($W32,'Outdoor Data'!$B$6:$L$16,9,FALSE))</f>
        <v>930 x 1,657 x 765</v>
      </c>
      <c r="AH32" s="48">
        <f>IF($W32="","",VLOOKUP($W32,'Outdoor Data'!$B$6:$L$16,10,FALSE))</f>
        <v>175</v>
      </c>
    </row>
    <row r="33" spans="2:38" x14ac:dyDescent="0.25">
      <c r="B33" s="104"/>
      <c r="C33" s="58" t="s">
        <v>220</v>
      </c>
      <c r="D33" s="58" t="s">
        <v>221</v>
      </c>
      <c r="E33" s="13">
        <v>3.2</v>
      </c>
      <c r="F33" s="13">
        <v>2.4</v>
      </c>
      <c r="G33" s="18">
        <v>151</v>
      </c>
      <c r="H33" s="83" t="s">
        <v>71</v>
      </c>
      <c r="I33" s="84">
        <f>IF($H33="","",VLOOKUP($H33,'Indoor Data'!$B$6:$O$57,13,FALSE))</f>
        <v>40</v>
      </c>
      <c r="J33" s="70" t="str">
        <f>IF($H33="","",VLOOKUP($H33,'Indoor Data'!$B$6:$O$57,14,FALSE))</f>
        <v>India</v>
      </c>
      <c r="K33" s="70" t="str">
        <f>IF($H33="","",VLOOKUP($H33,'Indoor Data'!$B$6:$O$57,2,FALSE))</f>
        <v>Ducted</v>
      </c>
      <c r="L33" s="70" t="str">
        <f>IF($H33="","",VLOOKUP($H33,'Indoor Data'!$B$6:$O$57,3,FALSE))</f>
        <v>46 - 24.4/17.2</v>
      </c>
      <c r="M33" s="70">
        <f>IF($H33="","",VLOOKUP($H33,'Indoor Data'!$B$6:$O$57,4,FALSE))</f>
        <v>4</v>
      </c>
      <c r="N33" s="70">
        <f>IF($H33="","",VLOOKUP($H33,'Indoor Data'!$B$6:$O$57,5,FALSE))</f>
        <v>3.5</v>
      </c>
      <c r="O33" s="71">
        <f>IF($H33="","",VLOOKUP($H33,'Indoor Data'!$B$6:$O$57,6,FALSE))</f>
        <v>266.67</v>
      </c>
      <c r="P33" s="72">
        <f>IF($H33="","",VLOOKUP($H33,'Indoor Data'!$B$6:$O$57,7,FALSE))</f>
        <v>0.151</v>
      </c>
      <c r="Q33" s="70" t="str">
        <f>IF($H33="","",VLOOKUP($H33,'Indoor Data'!$B$6:$O$57,8,FALSE))</f>
        <v>35 - 39</v>
      </c>
      <c r="R33" s="70" t="str">
        <f>IF($H33="","",VLOOKUP($H33,'Indoor Data'!$B$6:$O$57,9,FALSE))</f>
        <v>230V 1ph</v>
      </c>
      <c r="S33" s="70">
        <f>IF($H33="","",VLOOKUP($H33,'Indoor Data'!$B$6:$O$57,10,FALSE))</f>
        <v>1.4</v>
      </c>
      <c r="T33" s="70" t="str">
        <f>IF($H33="","",VLOOKUP($H33,'Indoor Data'!$B$6:$O$57,11,FALSE))</f>
        <v>700 x 300 x 700</v>
      </c>
      <c r="U33" s="70">
        <f>IF($H33="","",VLOOKUP($H33,'Indoor Data'!$B$6:$O$57,12,FALSE))</f>
        <v>27</v>
      </c>
      <c r="V33" s="74"/>
      <c r="W33" s="75"/>
      <c r="X33" s="76">
        <f>IF($W33="",0,VLOOKUP($W33,'Outdoor Data'!$B$6:$L$16,11,FALSE))</f>
        <v>0</v>
      </c>
      <c r="Y33" s="75" t="str">
        <f>IF($W33="","",VLOOKUP($W33,'Outdoor Data'!$B$6:$L$16,2,FALSE))</f>
        <v/>
      </c>
      <c r="Z33" s="75" t="str">
        <f>IF($W33="","",VLOOKUP($W33,'Outdoor Data'!$B$6:$L$16,3,FALSE))</f>
        <v/>
      </c>
      <c r="AA33" s="75"/>
      <c r="AB33" s="75" t="str">
        <f>IF($W33="","",VLOOKUP($W33,'Outdoor Data'!$B$6:$L$16,4,FALSE))</f>
        <v/>
      </c>
      <c r="AC33" s="5" t="str">
        <f>IF($W33="","",VLOOKUP($W33,'Outdoor Data'!$B$6:$L$16,5,FALSE))</f>
        <v/>
      </c>
      <c r="AD33" s="5" t="str">
        <f>IF($W33="","",VLOOKUP($W33,'Outdoor Data'!$B$6:$L$16,6,FALSE))</f>
        <v/>
      </c>
      <c r="AE33" s="5" t="str">
        <f>IF($W33="","",VLOOKUP($W33,'Outdoor Data'!$B$6:$L$16,7,FALSE))</f>
        <v/>
      </c>
      <c r="AF33" s="5" t="str">
        <f>IF($W33="","",VLOOKUP($W33,'Outdoor Data'!$B$6:$L$16,8,FALSE))</f>
        <v/>
      </c>
      <c r="AG33" s="5" t="str">
        <f>IF($W33="","",VLOOKUP($W33,'Outdoor Data'!$B$6:$L$16,9,FALSE))</f>
        <v/>
      </c>
      <c r="AH33" s="48" t="str">
        <f>IF($W33="","",VLOOKUP($W33,'Outdoor Data'!$B$6:$L$16,10,FALSE))</f>
        <v/>
      </c>
    </row>
    <row r="34" spans="2:38" hidden="1" x14ac:dyDescent="0.25">
      <c r="B34" s="104"/>
      <c r="C34" s="58"/>
      <c r="D34" s="58"/>
      <c r="E34" s="13"/>
      <c r="F34" s="13"/>
      <c r="G34" s="18"/>
      <c r="H34" s="83"/>
      <c r="I34" s="84" t="str">
        <f>IF($H34="","",VLOOKUP($H34,'Indoor Data'!$B$6:$O$57,13,FALSE))</f>
        <v/>
      </c>
      <c r="J34" s="70" t="str">
        <f>IF($H34="","",VLOOKUP($H34,'Indoor Data'!$B$6:$O$57,14,FALSE))</f>
        <v/>
      </c>
      <c r="K34" s="70" t="str">
        <f>IF($H34="","",VLOOKUP($H34,'Indoor Data'!$B$6:$O$57,2,FALSE))</f>
        <v/>
      </c>
      <c r="L34" s="70" t="str">
        <f>IF($H34="","",VLOOKUP($H34,'Indoor Data'!$B$6:$O$57,3,FALSE))</f>
        <v/>
      </c>
      <c r="M34" s="70" t="str">
        <f>IF($H34="","",VLOOKUP($H34,'Indoor Data'!$B$6:$O$57,4,FALSE))</f>
        <v/>
      </c>
      <c r="N34" s="70" t="str">
        <f>IF($H34="","",VLOOKUP($H34,'Indoor Data'!$B$6:$O$57,5,FALSE))</f>
        <v/>
      </c>
      <c r="O34" s="71" t="str">
        <f>IF($H34="","",VLOOKUP($H34,'Indoor Data'!$B$6:$O$57,6,FALSE))</f>
        <v/>
      </c>
      <c r="P34" s="72" t="str">
        <f>IF($H34="","",VLOOKUP($H34,'Indoor Data'!$B$6:$O$57,7,FALSE))</f>
        <v/>
      </c>
      <c r="Q34" s="70" t="str">
        <f>IF($H34="","",VLOOKUP($H34,'Indoor Data'!$B$6:$O$57,8,FALSE))</f>
        <v/>
      </c>
      <c r="R34" s="70" t="str">
        <f>IF($H34="","",VLOOKUP($H34,'Indoor Data'!$B$6:$O$57,9,FALSE))</f>
        <v/>
      </c>
      <c r="S34" s="70" t="str">
        <f>IF($H34="","",VLOOKUP($H34,'Indoor Data'!$B$6:$O$57,10,FALSE))</f>
        <v/>
      </c>
      <c r="T34" s="70" t="str">
        <f>IF($H34="","",VLOOKUP($H34,'Indoor Data'!$B$6:$O$57,11,FALSE))</f>
        <v/>
      </c>
      <c r="U34" s="70" t="str">
        <f>IF($H34="","",VLOOKUP($H34,'Indoor Data'!$B$6:$O$57,12,FALSE))</f>
        <v/>
      </c>
      <c r="V34" s="74"/>
      <c r="W34" s="75"/>
      <c r="X34" s="76"/>
      <c r="Y34" s="2"/>
      <c r="Z34" s="2"/>
      <c r="AA34" s="2"/>
      <c r="AB34" s="78"/>
      <c r="AC34" s="5"/>
      <c r="AD34" s="24"/>
      <c r="AE34" s="24"/>
      <c r="AF34" s="24"/>
      <c r="AG34" s="8"/>
      <c r="AH34" s="9"/>
    </row>
    <row r="35" spans="2:38" hidden="1" x14ac:dyDescent="0.25">
      <c r="B35" s="104"/>
      <c r="C35" s="58"/>
      <c r="D35" s="58"/>
      <c r="E35" s="13"/>
      <c r="F35" s="13"/>
      <c r="G35" s="18"/>
      <c r="H35" s="83"/>
      <c r="I35" s="84" t="str">
        <f>IF($H35="","",VLOOKUP($H35,'Indoor Data'!$B$6:$O$57,13,FALSE))</f>
        <v/>
      </c>
      <c r="J35" s="70" t="str">
        <f>IF($H35="","",VLOOKUP($H35,'Indoor Data'!$B$6:$O$57,14,FALSE))</f>
        <v/>
      </c>
      <c r="K35" s="70" t="str">
        <f>IF($H35="","",VLOOKUP($H35,'Indoor Data'!$B$6:$O$57,2,FALSE))</f>
        <v/>
      </c>
      <c r="L35" s="70" t="str">
        <f>IF($H35="","",VLOOKUP($H35,'Indoor Data'!$B$6:$O$57,3,FALSE))</f>
        <v/>
      </c>
      <c r="M35" s="70" t="str">
        <f>IF($H35="","",VLOOKUP($H35,'Indoor Data'!$B$6:$O$57,4,FALSE))</f>
        <v/>
      </c>
      <c r="N35" s="70" t="str">
        <f>IF($H35="","",VLOOKUP($H35,'Indoor Data'!$B$6:$O$57,5,FALSE))</f>
        <v/>
      </c>
      <c r="O35" s="71" t="str">
        <f>IF($H35="","",VLOOKUP($H35,'Indoor Data'!$B$6:$O$57,6,FALSE))</f>
        <v/>
      </c>
      <c r="P35" s="72" t="str">
        <f>IF($H35="","",VLOOKUP($H35,'Indoor Data'!$B$6:$O$57,7,FALSE))</f>
        <v/>
      </c>
      <c r="Q35" s="70" t="str">
        <f>IF($H35="","",VLOOKUP($H35,'Indoor Data'!$B$6:$O$57,8,FALSE))</f>
        <v/>
      </c>
      <c r="R35" s="70" t="str">
        <f>IF($H35="","",VLOOKUP($H35,'Indoor Data'!$B$6:$O$57,9,FALSE))</f>
        <v/>
      </c>
      <c r="S35" s="70" t="str">
        <f>IF($H35="","",VLOOKUP($H35,'Indoor Data'!$B$6:$O$57,10,FALSE))</f>
        <v/>
      </c>
      <c r="T35" s="70" t="str">
        <f>IF($H35="","",VLOOKUP($H35,'Indoor Data'!$B$6:$O$57,11,FALSE))</f>
        <v/>
      </c>
      <c r="U35" s="70" t="str">
        <f>IF($H35="","",VLOOKUP($H35,'Indoor Data'!$B$6:$O$57,12,FALSE))</f>
        <v/>
      </c>
      <c r="V35" s="74"/>
      <c r="W35" s="75"/>
      <c r="X35" s="76"/>
      <c r="Y35" s="2"/>
      <c r="Z35" s="2"/>
      <c r="AA35" s="2"/>
      <c r="AB35" s="78"/>
      <c r="AC35" s="5"/>
      <c r="AD35" s="24"/>
      <c r="AE35" s="24"/>
      <c r="AF35" s="24"/>
      <c r="AG35" s="8"/>
      <c r="AH35" s="9"/>
    </row>
    <row r="36" spans="2:38" hidden="1" x14ac:dyDescent="0.25">
      <c r="B36" s="104"/>
      <c r="C36" s="58"/>
      <c r="D36" s="58"/>
      <c r="E36" s="13"/>
      <c r="F36" s="13"/>
      <c r="G36" s="18"/>
      <c r="H36" s="83"/>
      <c r="I36" s="84" t="str">
        <f>IF($H36="","",VLOOKUP($H36,'Indoor Data'!$B$6:$O$57,13,FALSE))</f>
        <v/>
      </c>
      <c r="J36" s="70" t="str">
        <f>IF($H36="","",VLOOKUP($H36,'Indoor Data'!$B$6:$O$57,14,FALSE))</f>
        <v/>
      </c>
      <c r="K36" s="70" t="str">
        <f>IF($H36="","",VLOOKUP($H36,'Indoor Data'!$B$6:$O$57,2,FALSE))</f>
        <v/>
      </c>
      <c r="L36" s="70" t="str">
        <f>IF($H36="","",VLOOKUP($H36,'Indoor Data'!$B$6:$O$57,3,FALSE))</f>
        <v/>
      </c>
      <c r="M36" s="70" t="str">
        <f>IF($H36="","",VLOOKUP($H36,'Indoor Data'!$B$6:$O$57,4,FALSE))</f>
        <v/>
      </c>
      <c r="N36" s="70" t="str">
        <f>IF($H36="","",VLOOKUP($H36,'Indoor Data'!$B$6:$O$57,5,FALSE))</f>
        <v/>
      </c>
      <c r="O36" s="71" t="str">
        <f>IF($H36="","",VLOOKUP($H36,'Indoor Data'!$B$6:$O$57,6,FALSE))</f>
        <v/>
      </c>
      <c r="P36" s="72" t="str">
        <f>IF($H36="","",VLOOKUP($H36,'Indoor Data'!$B$6:$O$57,7,FALSE))</f>
        <v/>
      </c>
      <c r="Q36" s="70" t="str">
        <f>IF($H36="","",VLOOKUP($H36,'Indoor Data'!$B$6:$O$57,8,FALSE))</f>
        <v/>
      </c>
      <c r="R36" s="70" t="str">
        <f>IF($H36="","",VLOOKUP($H36,'Indoor Data'!$B$6:$O$57,9,FALSE))</f>
        <v/>
      </c>
      <c r="S36" s="70" t="str">
        <f>IF($H36="","",VLOOKUP($H36,'Indoor Data'!$B$6:$O$57,10,FALSE))</f>
        <v/>
      </c>
      <c r="T36" s="70" t="str">
        <f>IF($H36="","",VLOOKUP($H36,'Indoor Data'!$B$6:$O$57,11,FALSE))</f>
        <v/>
      </c>
      <c r="U36" s="70" t="str">
        <f>IF($H36="","",VLOOKUP($H36,'Indoor Data'!$B$6:$O$57,12,FALSE))</f>
        <v/>
      </c>
      <c r="V36" s="74"/>
      <c r="W36" s="75"/>
      <c r="X36" s="76"/>
      <c r="Y36" s="2"/>
      <c r="Z36" s="2"/>
      <c r="AA36" s="2"/>
      <c r="AB36" s="78"/>
      <c r="AC36" s="5"/>
      <c r="AD36" s="24"/>
      <c r="AE36" s="24"/>
      <c r="AF36" s="24"/>
      <c r="AG36" s="8"/>
      <c r="AH36" s="9"/>
    </row>
    <row r="37" spans="2:38" hidden="1" x14ac:dyDescent="0.25">
      <c r="B37" s="104"/>
      <c r="C37" s="58"/>
      <c r="D37" s="58"/>
      <c r="E37" s="13"/>
      <c r="F37" s="13"/>
      <c r="G37" s="18"/>
      <c r="H37" s="83"/>
      <c r="I37" s="84" t="str">
        <f>IF($H37="","",VLOOKUP($H37,'Indoor Data'!$B$6:$O$57,13,FALSE))</f>
        <v/>
      </c>
      <c r="J37" s="70" t="str">
        <f>IF($H37="","",VLOOKUP($H37,'Indoor Data'!$B$6:$O$57,14,FALSE))</f>
        <v/>
      </c>
      <c r="K37" s="70" t="str">
        <f>IF($H37="","",VLOOKUP($H37,'Indoor Data'!$B$6:$O$57,2,FALSE))</f>
        <v/>
      </c>
      <c r="L37" s="70" t="str">
        <f>IF($H37="","",VLOOKUP($H37,'Indoor Data'!$B$6:$O$57,3,FALSE))</f>
        <v/>
      </c>
      <c r="M37" s="70" t="str">
        <f>IF($H37="","",VLOOKUP($H37,'Indoor Data'!$B$6:$O$57,4,FALSE))</f>
        <v/>
      </c>
      <c r="N37" s="70" t="str">
        <f>IF($H37="","",VLOOKUP($H37,'Indoor Data'!$B$6:$O$57,5,FALSE))</f>
        <v/>
      </c>
      <c r="O37" s="71" t="str">
        <f>IF($H37="","",VLOOKUP($H37,'Indoor Data'!$B$6:$O$57,6,FALSE))</f>
        <v/>
      </c>
      <c r="P37" s="72" t="str">
        <f>IF($H37="","",VLOOKUP($H37,'Indoor Data'!$B$6:$O$57,7,FALSE))</f>
        <v/>
      </c>
      <c r="Q37" s="70" t="str">
        <f>IF($H37="","",VLOOKUP($H37,'Indoor Data'!$B$6:$O$57,8,FALSE))</f>
        <v/>
      </c>
      <c r="R37" s="70" t="str">
        <f>IF($H37="","",VLOOKUP($H37,'Indoor Data'!$B$6:$O$57,9,FALSE))</f>
        <v/>
      </c>
      <c r="S37" s="70" t="str">
        <f>IF($H37="","",VLOOKUP($H37,'Indoor Data'!$B$6:$O$57,10,FALSE))</f>
        <v/>
      </c>
      <c r="T37" s="70" t="str">
        <f>IF($H37="","",VLOOKUP($H37,'Indoor Data'!$B$6:$O$57,11,FALSE))</f>
        <v/>
      </c>
      <c r="U37" s="70" t="str">
        <f>IF($H37="","",VLOOKUP($H37,'Indoor Data'!$B$6:$O$57,12,FALSE))</f>
        <v/>
      </c>
      <c r="V37" s="74"/>
      <c r="W37" s="75"/>
      <c r="X37" s="76"/>
      <c r="Y37" s="2"/>
      <c r="Z37" s="2"/>
      <c r="AA37" s="2"/>
      <c r="AB37" s="78"/>
      <c r="AC37" s="5"/>
      <c r="AD37" s="24"/>
      <c r="AE37" s="24"/>
      <c r="AF37" s="24"/>
      <c r="AG37" s="8"/>
      <c r="AH37" s="9"/>
    </row>
    <row r="38" spans="2:38" hidden="1" x14ac:dyDescent="0.25">
      <c r="B38" s="104"/>
      <c r="C38" s="58"/>
      <c r="D38" s="58"/>
      <c r="E38" s="13"/>
      <c r="F38" s="13"/>
      <c r="G38" s="18"/>
      <c r="H38" s="83"/>
      <c r="I38" s="84" t="str">
        <f>IF($H38="","",VLOOKUP($H38,'Indoor Data'!$B$6:$O$57,13,FALSE))</f>
        <v/>
      </c>
      <c r="J38" s="70" t="str">
        <f>IF($H38="","",VLOOKUP($H38,'Indoor Data'!$B$6:$O$57,14,FALSE))</f>
        <v/>
      </c>
      <c r="K38" s="70" t="str">
        <f>IF($H38="","",VLOOKUP($H38,'Indoor Data'!$B$6:$O$57,2,FALSE))</f>
        <v/>
      </c>
      <c r="L38" s="70" t="str">
        <f>IF($H38="","",VLOOKUP($H38,'Indoor Data'!$B$6:$O$57,3,FALSE))</f>
        <v/>
      </c>
      <c r="M38" s="70" t="str">
        <f>IF($H38="","",VLOOKUP($H38,'Indoor Data'!$B$6:$O$57,4,FALSE))</f>
        <v/>
      </c>
      <c r="N38" s="70" t="str">
        <f>IF($H38="","",VLOOKUP($H38,'Indoor Data'!$B$6:$O$57,5,FALSE))</f>
        <v/>
      </c>
      <c r="O38" s="71" t="str">
        <f>IF($H38="","",VLOOKUP($H38,'Indoor Data'!$B$6:$O$57,6,FALSE))</f>
        <v/>
      </c>
      <c r="P38" s="72" t="str">
        <f>IF($H38="","",VLOOKUP($H38,'Indoor Data'!$B$6:$O$57,7,FALSE))</f>
        <v/>
      </c>
      <c r="Q38" s="70" t="str">
        <f>IF($H38="","",VLOOKUP($H38,'Indoor Data'!$B$6:$O$57,8,FALSE))</f>
        <v/>
      </c>
      <c r="R38" s="70" t="str">
        <f>IF($H38="","",VLOOKUP($H38,'Indoor Data'!$B$6:$O$57,9,FALSE))</f>
        <v/>
      </c>
      <c r="S38" s="70" t="str">
        <f>IF($H38="","",VLOOKUP($H38,'Indoor Data'!$B$6:$O$57,10,FALSE))</f>
        <v/>
      </c>
      <c r="T38" s="70" t="str">
        <f>IF($H38="","",VLOOKUP($H38,'Indoor Data'!$B$6:$O$57,11,FALSE))</f>
        <v/>
      </c>
      <c r="U38" s="70" t="str">
        <f>IF($H38="","",VLOOKUP($H38,'Indoor Data'!$B$6:$O$57,12,FALSE))</f>
        <v/>
      </c>
      <c r="V38" s="74"/>
      <c r="W38" s="75"/>
      <c r="X38" s="76"/>
      <c r="Y38" s="2"/>
      <c r="Z38" s="2"/>
      <c r="AA38" s="2"/>
      <c r="AB38" s="78"/>
      <c r="AC38" s="5"/>
      <c r="AD38" s="24"/>
      <c r="AE38" s="24"/>
      <c r="AF38" s="24"/>
      <c r="AG38" s="8"/>
      <c r="AH38" s="9"/>
    </row>
    <row r="39" spans="2:38" hidden="1" x14ac:dyDescent="0.25">
      <c r="B39" s="104"/>
      <c r="C39" s="58"/>
      <c r="D39" s="58"/>
      <c r="E39" s="13"/>
      <c r="F39" s="13"/>
      <c r="G39" s="18"/>
      <c r="H39" s="83"/>
      <c r="I39" s="84" t="str">
        <f>IF($H39="","",VLOOKUP($H39,'Indoor Data'!$B$6:$O$57,13,FALSE))</f>
        <v/>
      </c>
      <c r="J39" s="70" t="str">
        <f>IF($H39="","",VLOOKUP($H39,'Indoor Data'!$B$6:$O$57,14,FALSE))</f>
        <v/>
      </c>
      <c r="K39" s="70" t="str">
        <f>IF($H39="","",VLOOKUP($H39,'Indoor Data'!$B$6:$O$57,2,FALSE))</f>
        <v/>
      </c>
      <c r="L39" s="70" t="str">
        <f>IF($H39="","",VLOOKUP($H39,'Indoor Data'!$B$6:$O$57,3,FALSE))</f>
        <v/>
      </c>
      <c r="M39" s="70" t="str">
        <f>IF($H39="","",VLOOKUP($H39,'Indoor Data'!$B$6:$O$57,4,FALSE))</f>
        <v/>
      </c>
      <c r="N39" s="70" t="str">
        <f>IF($H39="","",VLOOKUP($H39,'Indoor Data'!$B$6:$O$57,5,FALSE))</f>
        <v/>
      </c>
      <c r="O39" s="71" t="str">
        <f>IF($H39="","",VLOOKUP($H39,'Indoor Data'!$B$6:$O$57,6,FALSE))</f>
        <v/>
      </c>
      <c r="P39" s="72" t="str">
        <f>IF($H39="","",VLOOKUP($H39,'Indoor Data'!$B$6:$O$57,7,FALSE))</f>
        <v/>
      </c>
      <c r="Q39" s="70" t="str">
        <f>IF($H39="","",VLOOKUP($H39,'Indoor Data'!$B$6:$O$57,8,FALSE))</f>
        <v/>
      </c>
      <c r="R39" s="70" t="str">
        <f>IF($H39="","",VLOOKUP($H39,'Indoor Data'!$B$6:$O$57,9,FALSE))</f>
        <v/>
      </c>
      <c r="S39" s="70" t="str">
        <f>IF($H39="","",VLOOKUP($H39,'Indoor Data'!$B$6:$O$57,10,FALSE))</f>
        <v/>
      </c>
      <c r="T39" s="70" t="str">
        <f>IF($H39="","",VLOOKUP($H39,'Indoor Data'!$B$6:$O$57,11,FALSE))</f>
        <v/>
      </c>
      <c r="U39" s="70" t="str">
        <f>IF($H39="","",VLOOKUP($H39,'Indoor Data'!$B$6:$O$57,12,FALSE))</f>
        <v/>
      </c>
      <c r="V39" s="74"/>
      <c r="W39" s="75"/>
      <c r="X39" s="76"/>
      <c r="Y39" s="2"/>
      <c r="Z39" s="2"/>
      <c r="AA39" s="2"/>
      <c r="AB39" s="78"/>
      <c r="AC39" s="5"/>
      <c r="AD39" s="24"/>
      <c r="AE39" s="24"/>
      <c r="AF39" s="24"/>
      <c r="AG39" s="8"/>
      <c r="AH39" s="9"/>
    </row>
    <row r="40" spans="2:38" hidden="1" x14ac:dyDescent="0.25">
      <c r="B40" s="104"/>
      <c r="C40" s="58"/>
      <c r="D40" s="58"/>
      <c r="E40" s="13"/>
      <c r="F40" s="13"/>
      <c r="G40" s="18"/>
      <c r="H40" s="83"/>
      <c r="I40" s="84" t="str">
        <f>IF($H40="","",VLOOKUP($H40,'Indoor Data'!$B$6:$O$57,13,FALSE))</f>
        <v/>
      </c>
      <c r="J40" s="70" t="str">
        <f>IF($H40="","",VLOOKUP($H40,'Indoor Data'!$B$6:$O$57,14,FALSE))</f>
        <v/>
      </c>
      <c r="K40" s="70" t="str">
        <f>IF($H40="","",VLOOKUP($H40,'Indoor Data'!$B$6:$O$57,2,FALSE))</f>
        <v/>
      </c>
      <c r="L40" s="70" t="str">
        <f>IF($H40="","",VLOOKUP($H40,'Indoor Data'!$B$6:$O$57,3,FALSE))</f>
        <v/>
      </c>
      <c r="M40" s="70" t="str">
        <f>IF($H40="","",VLOOKUP($H40,'Indoor Data'!$B$6:$O$57,4,FALSE))</f>
        <v/>
      </c>
      <c r="N40" s="70" t="str">
        <f>IF($H40="","",VLOOKUP($H40,'Indoor Data'!$B$6:$O$57,5,FALSE))</f>
        <v/>
      </c>
      <c r="O40" s="71" t="str">
        <f>IF($H40="","",VLOOKUP($H40,'Indoor Data'!$B$6:$O$57,6,FALSE))</f>
        <v/>
      </c>
      <c r="P40" s="72" t="str">
        <f>IF($H40="","",VLOOKUP($H40,'Indoor Data'!$B$6:$O$57,7,FALSE))</f>
        <v/>
      </c>
      <c r="Q40" s="70" t="str">
        <f>IF($H40="","",VLOOKUP($H40,'Indoor Data'!$B$6:$O$57,8,FALSE))</f>
        <v/>
      </c>
      <c r="R40" s="70" t="str">
        <f>IF($H40="","",VLOOKUP($H40,'Indoor Data'!$B$6:$O$57,9,FALSE))</f>
        <v/>
      </c>
      <c r="S40" s="70" t="str">
        <f>IF($H40="","",VLOOKUP($H40,'Indoor Data'!$B$6:$O$57,10,FALSE))</f>
        <v/>
      </c>
      <c r="T40" s="70" t="str">
        <f>IF($H40="","",VLOOKUP($H40,'Indoor Data'!$B$6:$O$57,11,FALSE))</f>
        <v/>
      </c>
      <c r="U40" s="70" t="str">
        <f>IF($H40="","",VLOOKUP($H40,'Indoor Data'!$B$6:$O$57,12,FALSE))</f>
        <v/>
      </c>
      <c r="V40" s="74"/>
      <c r="W40" s="75"/>
      <c r="X40" s="76"/>
      <c r="Y40" s="2"/>
      <c r="Z40" s="2"/>
      <c r="AA40" s="2"/>
      <c r="AB40" s="78"/>
      <c r="AC40" s="5"/>
      <c r="AD40" s="24"/>
      <c r="AE40" s="24"/>
      <c r="AF40" s="24"/>
      <c r="AG40" s="8"/>
      <c r="AH40" s="9"/>
    </row>
    <row r="41" spans="2:38" hidden="1" x14ac:dyDescent="0.25">
      <c r="B41" s="104"/>
      <c r="C41" s="58"/>
      <c r="D41" s="58"/>
      <c r="E41" s="13"/>
      <c r="F41" s="13"/>
      <c r="G41" s="18"/>
      <c r="H41" s="83"/>
      <c r="I41" s="84" t="str">
        <f>IF($H41="","",VLOOKUP($H41,'Indoor Data'!$B$6:$O$57,13,FALSE))</f>
        <v/>
      </c>
      <c r="J41" s="70" t="str">
        <f>IF($H41="","",VLOOKUP($H41,'Indoor Data'!$B$6:$O$57,14,FALSE))</f>
        <v/>
      </c>
      <c r="K41" s="70" t="str">
        <f>IF($H41="","",VLOOKUP($H41,'Indoor Data'!$B$6:$O$57,2,FALSE))</f>
        <v/>
      </c>
      <c r="L41" s="70" t="str">
        <f>IF($H41="","",VLOOKUP($H41,'Indoor Data'!$B$6:$O$57,3,FALSE))</f>
        <v/>
      </c>
      <c r="M41" s="70" t="str">
        <f>IF($H41="","",VLOOKUP($H41,'Indoor Data'!$B$6:$O$57,4,FALSE))</f>
        <v/>
      </c>
      <c r="N41" s="70" t="str">
        <f>IF($H41="","",VLOOKUP($H41,'Indoor Data'!$B$6:$O$57,5,FALSE))</f>
        <v/>
      </c>
      <c r="O41" s="71" t="str">
        <f>IF($H41="","",VLOOKUP($H41,'Indoor Data'!$B$6:$O$57,6,FALSE))</f>
        <v/>
      </c>
      <c r="P41" s="72" t="str">
        <f>IF($H41="","",VLOOKUP($H41,'Indoor Data'!$B$6:$O$57,7,FALSE))</f>
        <v/>
      </c>
      <c r="Q41" s="70" t="str">
        <f>IF($H41="","",VLOOKUP($H41,'Indoor Data'!$B$6:$O$57,8,FALSE))</f>
        <v/>
      </c>
      <c r="R41" s="70" t="str">
        <f>IF($H41="","",VLOOKUP($H41,'Indoor Data'!$B$6:$O$57,9,FALSE))</f>
        <v/>
      </c>
      <c r="S41" s="70" t="str">
        <f>IF($H41="","",VLOOKUP($H41,'Indoor Data'!$B$6:$O$57,10,FALSE))</f>
        <v/>
      </c>
      <c r="T41" s="70" t="str">
        <f>IF($H41="","",VLOOKUP($H41,'Indoor Data'!$B$6:$O$57,11,FALSE))</f>
        <v/>
      </c>
      <c r="U41" s="70" t="str">
        <f>IF($H41="","",VLOOKUP($H41,'Indoor Data'!$B$6:$O$57,12,FALSE))</f>
        <v/>
      </c>
      <c r="V41" s="74"/>
      <c r="W41" s="75"/>
      <c r="X41" s="76"/>
      <c r="Y41" s="2"/>
      <c r="Z41" s="2"/>
      <c r="AA41" s="2"/>
      <c r="AB41" s="78"/>
      <c r="AC41" s="5"/>
      <c r="AD41" s="24"/>
      <c r="AE41" s="24"/>
      <c r="AF41" s="24"/>
      <c r="AG41" s="8"/>
      <c r="AH41" s="9"/>
    </row>
    <row r="42" spans="2:38" hidden="1" x14ac:dyDescent="0.25">
      <c r="B42" s="105"/>
      <c r="C42" s="58"/>
      <c r="D42" s="58"/>
      <c r="E42" s="13"/>
      <c r="F42" s="13"/>
      <c r="G42" s="18"/>
      <c r="H42" s="83"/>
      <c r="I42" s="84" t="str">
        <f>IF($H42="","",VLOOKUP($H42,'Indoor Data'!$B$6:$O$57,13,FALSE))</f>
        <v/>
      </c>
      <c r="J42" s="70" t="str">
        <f>IF($H42="","",VLOOKUP($H42,'Indoor Data'!$B$6:$O$57,14,FALSE))</f>
        <v/>
      </c>
      <c r="K42" s="70" t="str">
        <f>IF($H42="","",VLOOKUP($H42,'Indoor Data'!$B$6:$O$57,2,FALSE))</f>
        <v/>
      </c>
      <c r="L42" s="70" t="str">
        <f>IF($H42="","",VLOOKUP($H42,'Indoor Data'!$B$6:$O$57,3,FALSE))</f>
        <v/>
      </c>
      <c r="M42" s="70" t="str">
        <f>IF($H42="","",VLOOKUP($H42,'Indoor Data'!$B$6:$O$57,4,FALSE))</f>
        <v/>
      </c>
      <c r="N42" s="70" t="str">
        <f>IF($H42="","",VLOOKUP($H42,'Indoor Data'!$B$6:$O$57,5,FALSE))</f>
        <v/>
      </c>
      <c r="O42" s="71" t="str">
        <f>IF($H42="","",VLOOKUP($H42,'Indoor Data'!$B$6:$O$57,6,FALSE))</f>
        <v/>
      </c>
      <c r="P42" s="72" t="str">
        <f>IF($H42="","",VLOOKUP($H42,'Indoor Data'!$B$6:$O$57,7,FALSE))</f>
        <v/>
      </c>
      <c r="Q42" s="70" t="str">
        <f>IF($H42="","",VLOOKUP($H42,'Indoor Data'!$B$6:$O$57,8,FALSE))</f>
        <v/>
      </c>
      <c r="R42" s="70" t="str">
        <f>IF($H42="","",VLOOKUP($H42,'Indoor Data'!$B$6:$O$57,9,FALSE))</f>
        <v/>
      </c>
      <c r="S42" s="70" t="str">
        <f>IF($H42="","",VLOOKUP($H42,'Indoor Data'!$B$6:$O$57,10,FALSE))</f>
        <v/>
      </c>
      <c r="T42" s="70" t="str">
        <f>IF($H42="","",VLOOKUP($H42,'Indoor Data'!$B$6:$O$57,11,FALSE))</f>
        <v/>
      </c>
      <c r="U42" s="70" t="str">
        <f>IF($H42="","",VLOOKUP($H42,'Indoor Data'!$B$6:$O$57,12,FALSE))</f>
        <v/>
      </c>
      <c r="V42" s="79"/>
      <c r="W42" s="78"/>
      <c r="X42" s="80"/>
      <c r="Y42" s="78"/>
      <c r="Z42" s="78"/>
      <c r="AA42" s="78"/>
      <c r="AB42" s="7"/>
      <c r="AC42" s="8"/>
      <c r="AD42" s="3"/>
      <c r="AE42" s="3"/>
      <c r="AF42" s="3"/>
      <c r="AG42" s="5"/>
      <c r="AH42" s="4"/>
    </row>
    <row r="43" spans="2:38" ht="15" thickBot="1" x14ac:dyDescent="0.3">
      <c r="B43" s="31"/>
      <c r="C43" s="32"/>
      <c r="D43" s="32"/>
      <c r="E43" s="33">
        <f>SUM(E28:E42)</f>
        <v>44.300000000000004</v>
      </c>
      <c r="F43" s="33">
        <f>SUM(F28:F42)</f>
        <v>35.4</v>
      </c>
      <c r="G43" s="34">
        <f>SUM(G28:G42)</f>
        <v>2436</v>
      </c>
      <c r="H43" s="35"/>
      <c r="I43" s="51">
        <f>SUM(I28:I42)</f>
        <v>513</v>
      </c>
      <c r="J43" s="36"/>
      <c r="K43" s="36"/>
      <c r="L43" s="36"/>
      <c r="M43" s="37">
        <f>SUM(M28:M42)</f>
        <v>51.3</v>
      </c>
      <c r="N43" s="37">
        <f>SUM(N28:N42)</f>
        <v>41.800000000000004</v>
      </c>
      <c r="O43" s="38">
        <f>SUM(O28:O42)</f>
        <v>2925.01</v>
      </c>
      <c r="P43" s="39">
        <f>SUM(P28:P42)</f>
        <v>1.8500000000000003</v>
      </c>
      <c r="Q43" s="36"/>
      <c r="R43" s="36"/>
      <c r="S43" s="40"/>
      <c r="T43" s="36"/>
      <c r="U43" s="41"/>
      <c r="V43" s="42"/>
      <c r="W43" s="43"/>
      <c r="X43" s="50">
        <f>X33+X32+X31+X29</f>
        <v>500</v>
      </c>
      <c r="Y43" s="43"/>
      <c r="Z43" s="43"/>
      <c r="AA43" s="43"/>
      <c r="AB43" s="44">
        <f>SUM(AB28:AB42)</f>
        <v>16.899999999999999</v>
      </c>
      <c r="AC43" s="43"/>
      <c r="AD43" s="43"/>
      <c r="AE43" s="43"/>
      <c r="AF43" s="43"/>
      <c r="AG43" s="43"/>
      <c r="AH43" s="45"/>
    </row>
    <row r="44" spans="2:38" ht="15" thickBot="1" x14ac:dyDescent="0.3">
      <c r="B44" s="119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1"/>
    </row>
    <row r="45" spans="2:38" x14ac:dyDescent="0.25">
      <c r="B45" s="103" t="s">
        <v>222</v>
      </c>
      <c r="C45" s="57" t="s">
        <v>223</v>
      </c>
      <c r="D45" s="57" t="s">
        <v>224</v>
      </c>
      <c r="E45" s="16">
        <v>9.9</v>
      </c>
      <c r="F45" s="16">
        <v>8.5</v>
      </c>
      <c r="G45" s="17">
        <v>630</v>
      </c>
      <c r="H45" s="81" t="s">
        <v>76</v>
      </c>
      <c r="I45" s="82">
        <f>IF($H45="","",VLOOKUP($H45,'Indoor Data'!$B$6:$O$57,13,FALSE))</f>
        <v>125</v>
      </c>
      <c r="J45" s="61" t="str">
        <f>IF($H45="","",VLOOKUP($H45,'Indoor Data'!$B$6:$O$57,14,FALSE))</f>
        <v>India</v>
      </c>
      <c r="K45" s="61" t="str">
        <f>IF($H45="","",VLOOKUP($H45,'Indoor Data'!$B$6:$O$57,2,FALSE))</f>
        <v>Ducted</v>
      </c>
      <c r="L45" s="61" t="str">
        <f>IF($H45="","",VLOOKUP($H45,'Indoor Data'!$B$6:$O$57,3,FALSE))</f>
        <v>46 - 24.4/17.2</v>
      </c>
      <c r="M45" s="61">
        <f>IF($H45="","",VLOOKUP($H45,'Indoor Data'!$B$6:$O$57,4,FALSE))</f>
        <v>12.4</v>
      </c>
      <c r="N45" s="61">
        <f>IF($H45="","",VLOOKUP($H45,'Indoor Data'!$B$6:$O$57,5,FALSE))</f>
        <v>9.6</v>
      </c>
      <c r="O45" s="62">
        <f>IF($H45="","",VLOOKUP($H45,'Indoor Data'!$B$6:$O$57,6,FALSE))</f>
        <v>650</v>
      </c>
      <c r="P45" s="63">
        <f>IF($H45="","",VLOOKUP($H45,'Indoor Data'!$B$6:$O$57,7,FALSE))</f>
        <v>0.28399999999999997</v>
      </c>
      <c r="Q45" s="61" t="str">
        <f>IF($H45="","",VLOOKUP($H45,'Indoor Data'!$B$6:$O$57,8,FALSE))</f>
        <v>40 - 44</v>
      </c>
      <c r="R45" s="61" t="str">
        <f>IF($H45="","",VLOOKUP($H45,'Indoor Data'!$B$6:$O$57,9,FALSE))</f>
        <v>230V 1ph</v>
      </c>
      <c r="S45" s="61">
        <f>IF($H45="","",VLOOKUP($H45,'Indoor Data'!$B$6:$O$57,10,FALSE))</f>
        <v>3.4</v>
      </c>
      <c r="T45" s="61" t="str">
        <f>IF($H45="","",VLOOKUP($H45,'Indoor Data'!$B$6:$O$57,11,FALSE))</f>
        <v>1,400 x 300 x 700</v>
      </c>
      <c r="U45" s="61">
        <f>IF($H45="","",VLOOKUP($H45,'Indoor Data'!$B$6:$O$57,12,FALSE))</f>
        <v>45</v>
      </c>
      <c r="V45" s="65"/>
      <c r="W45" s="66"/>
      <c r="X45" s="67"/>
      <c r="Y45" s="66"/>
      <c r="Z45" s="66"/>
      <c r="AA45" s="66"/>
      <c r="AB45" s="10"/>
      <c r="AC45" s="10"/>
      <c r="AD45" s="10"/>
      <c r="AE45" s="10"/>
      <c r="AF45" s="10"/>
      <c r="AG45" s="10"/>
      <c r="AH45" s="11"/>
    </row>
    <row r="46" spans="2:38" x14ac:dyDescent="0.25">
      <c r="B46" s="104"/>
      <c r="C46" s="58" t="s">
        <v>225</v>
      </c>
      <c r="D46" s="58" t="s">
        <v>226</v>
      </c>
      <c r="E46" s="13">
        <v>4.5999999999999996</v>
      </c>
      <c r="F46" s="13">
        <v>3.8</v>
      </c>
      <c r="G46" s="18">
        <v>243</v>
      </c>
      <c r="H46" s="83" t="s">
        <v>72</v>
      </c>
      <c r="I46" s="84">
        <f>IF($H46="","",VLOOKUP($H46,'Indoor Data'!$B$6:$O$57,13,FALSE))</f>
        <v>50</v>
      </c>
      <c r="J46" s="70" t="str">
        <f>IF($H46="","",VLOOKUP($H46,'Indoor Data'!$B$6:$O$57,14,FALSE))</f>
        <v>India</v>
      </c>
      <c r="K46" s="70" t="str">
        <f>IF($H46="","",VLOOKUP($H46,'Indoor Data'!$B$6:$O$57,2,FALSE))</f>
        <v>Ducted</v>
      </c>
      <c r="L46" s="70" t="str">
        <f>IF($H46="","",VLOOKUP($H46,'Indoor Data'!$B$6:$O$57,3,FALSE))</f>
        <v>46 - 24.4/17.2</v>
      </c>
      <c r="M46" s="70">
        <f>IF($H46="","",VLOOKUP($H46,'Indoor Data'!$B$6:$O$57,4,FALSE))</f>
        <v>4.9000000000000004</v>
      </c>
      <c r="N46" s="70">
        <f>IF($H46="","",VLOOKUP($H46,'Indoor Data'!$B$6:$O$57,5,FALSE))</f>
        <v>4.2</v>
      </c>
      <c r="O46" s="71">
        <f>IF($H46="","",VLOOKUP($H46,'Indoor Data'!$B$6:$O$57,6,FALSE))</f>
        <v>300</v>
      </c>
      <c r="P46" s="72">
        <f>IF($H46="","",VLOOKUP($H46,'Indoor Data'!$B$6:$O$57,7,FALSE))</f>
        <v>0.128</v>
      </c>
      <c r="Q46" s="70" t="str">
        <f>IF($H46="","",VLOOKUP($H46,'Indoor Data'!$B$6:$O$57,8,FALSE))</f>
        <v>37 - 41</v>
      </c>
      <c r="R46" s="70" t="str">
        <f>IF($H46="","",VLOOKUP($H46,'Indoor Data'!$B$6:$O$57,9,FALSE))</f>
        <v>230V 1ph</v>
      </c>
      <c r="S46" s="70">
        <f>IF($H46="","",VLOOKUP($H46,'Indoor Data'!$B$6:$O$57,10,FALSE))</f>
        <v>1.6</v>
      </c>
      <c r="T46" s="70" t="str">
        <f>IF($H46="","",VLOOKUP($H46,'Indoor Data'!$B$6:$O$57,11,FALSE))</f>
        <v>1,000 x 300 x 700</v>
      </c>
      <c r="U46" s="70">
        <f>IF($H46="","",VLOOKUP($H46,'Indoor Data'!$B$6:$O$57,12,FALSE))</f>
        <v>35</v>
      </c>
      <c r="V46" s="74"/>
      <c r="W46" s="75"/>
      <c r="X46" s="76">
        <f>IF($W46="",0,VLOOKUP($W46,'Outdoor Data'!$B$6:$L$16,11,FALSE))</f>
        <v>0</v>
      </c>
      <c r="Y46" s="75" t="str">
        <f>IF($W46="","",VLOOKUP($W46,'Outdoor Data'!$B$6:$L$16,2,FALSE))</f>
        <v/>
      </c>
      <c r="Z46" s="75" t="str">
        <f>IF($W46="","",VLOOKUP($W46,'Outdoor Data'!$B$6:$L$16,3,FALSE))</f>
        <v/>
      </c>
      <c r="AA46" s="77" t="str">
        <f>IF(W46="","",I60/X60)</f>
        <v/>
      </c>
      <c r="AB46" s="5" t="str">
        <f>IF($W46="","",VLOOKUP($W46,'Outdoor Data'!$B$6:$L$16,4,FALSE))</f>
        <v/>
      </c>
      <c r="AC46" s="5" t="str">
        <f>IF($W46="","",VLOOKUP($W46,'Outdoor Data'!$B$6:$L$16,5,FALSE))</f>
        <v/>
      </c>
      <c r="AD46" s="5" t="str">
        <f>IF($W46="","",VLOOKUP($W46,'Outdoor Data'!$B$6:$L$16,6,FALSE))</f>
        <v/>
      </c>
      <c r="AE46" s="5" t="str">
        <f>IF($W46="","",VLOOKUP($W46,'Outdoor Data'!$B$6:$L$16,7,FALSE))</f>
        <v/>
      </c>
      <c r="AF46" s="5" t="str">
        <f>IF($W46="","",VLOOKUP($W46,'Outdoor Data'!$B$6:$L$16,8,FALSE))</f>
        <v/>
      </c>
      <c r="AG46" s="5" t="str">
        <f>IF($W46="","",VLOOKUP($W46,'Outdoor Data'!$B$6:$L$16,9,FALSE))</f>
        <v/>
      </c>
      <c r="AH46" s="48" t="str">
        <f>IF($W46="","",VLOOKUP($W46,'Outdoor Data'!$B$6:$L$16,10,FALSE))</f>
        <v/>
      </c>
    </row>
    <row r="47" spans="2:38" x14ac:dyDescent="0.25">
      <c r="B47" s="104"/>
      <c r="C47" s="58" t="s">
        <v>227</v>
      </c>
      <c r="D47" s="58" t="s">
        <v>228</v>
      </c>
      <c r="E47" s="13">
        <v>5.6</v>
      </c>
      <c r="F47" s="13">
        <v>4.2</v>
      </c>
      <c r="G47" s="18">
        <v>256</v>
      </c>
      <c r="H47" s="83" t="s">
        <v>73</v>
      </c>
      <c r="I47" s="84">
        <f>IF($H47="","",VLOOKUP($H47,'Indoor Data'!$B$6:$O$57,13,FALSE))</f>
        <v>63</v>
      </c>
      <c r="J47" s="70" t="str">
        <f>IF($H47="","",VLOOKUP($H47,'Indoor Data'!$B$6:$O$57,14,FALSE))</f>
        <v>India</v>
      </c>
      <c r="K47" s="70" t="str">
        <f>IF($H47="","",VLOOKUP($H47,'Indoor Data'!$B$6:$O$57,2,FALSE))</f>
        <v>Ducted</v>
      </c>
      <c r="L47" s="70" t="str">
        <f>IF($H47="","",VLOOKUP($H47,'Indoor Data'!$B$6:$O$57,3,FALSE))</f>
        <v>46 - 24.4/17.2</v>
      </c>
      <c r="M47" s="70">
        <f>IF($H47="","",VLOOKUP($H47,'Indoor Data'!$B$6:$O$57,4,FALSE))</f>
        <v>6.2</v>
      </c>
      <c r="N47" s="70">
        <f>IF($H47="","",VLOOKUP($H47,'Indoor Data'!$B$6:$O$57,5,FALSE))</f>
        <v>5.0999999999999996</v>
      </c>
      <c r="O47" s="71">
        <f>IF($H47="","",VLOOKUP($H47,'Indoor Data'!$B$6:$O$57,6,FALSE))</f>
        <v>325</v>
      </c>
      <c r="P47" s="72">
        <f>IF($H47="","",VLOOKUP($H47,'Indoor Data'!$B$6:$O$57,7,FALSE))</f>
        <v>0.13800000000000001</v>
      </c>
      <c r="Q47" s="70" t="str">
        <f>IF($H47="","",VLOOKUP($H47,'Indoor Data'!$B$6:$O$57,8,FALSE))</f>
        <v>38 - 42</v>
      </c>
      <c r="R47" s="70" t="str">
        <f>IF($H47="","",VLOOKUP($H47,'Indoor Data'!$B$6:$O$57,9,FALSE))</f>
        <v>230V 1ph</v>
      </c>
      <c r="S47" s="70">
        <f>IF($H47="","",VLOOKUP($H47,'Indoor Data'!$B$6:$O$57,10,FALSE))</f>
        <v>1.8</v>
      </c>
      <c r="T47" s="70" t="str">
        <f>IF($H47="","",VLOOKUP($H47,'Indoor Data'!$B$6:$O$57,11,FALSE))</f>
        <v>1,000 x 300 x 700</v>
      </c>
      <c r="U47" s="70">
        <f>IF($H47="","",VLOOKUP($H47,'Indoor Data'!$B$6:$O$57,12,FALSE))</f>
        <v>35</v>
      </c>
      <c r="V47" s="74" t="s">
        <v>222</v>
      </c>
      <c r="W47" s="75" t="s">
        <v>206</v>
      </c>
      <c r="X47" s="76"/>
      <c r="Y47" s="75">
        <v>46</v>
      </c>
      <c r="Z47" s="75">
        <v>38.1</v>
      </c>
      <c r="AA47" s="77">
        <f>IF(W48="","",I60/X60)</f>
        <v>0.94666666666666666</v>
      </c>
      <c r="AB47" s="5"/>
      <c r="AC47" s="5"/>
      <c r="AD47" s="5"/>
      <c r="AE47" s="5"/>
      <c r="AF47" s="5"/>
      <c r="AG47" s="5"/>
      <c r="AH47" s="48"/>
      <c r="AJ47" s="52" t="s">
        <v>185</v>
      </c>
      <c r="AK47" s="53">
        <v>1.1000000000000001</v>
      </c>
      <c r="AL47" s="52"/>
    </row>
    <row r="48" spans="2:38" x14ac:dyDescent="0.25">
      <c r="B48" s="104"/>
      <c r="C48" s="58" t="s">
        <v>229</v>
      </c>
      <c r="D48" s="58" t="s">
        <v>230</v>
      </c>
      <c r="E48" s="13">
        <v>11.5</v>
      </c>
      <c r="F48" s="13">
        <v>8.5</v>
      </c>
      <c r="G48" s="18">
        <v>498</v>
      </c>
      <c r="H48" s="83" t="s">
        <v>76</v>
      </c>
      <c r="I48" s="84">
        <f>IF($H48="","",VLOOKUP($H48,'Indoor Data'!$B$6:$O$57,13,FALSE))</f>
        <v>125</v>
      </c>
      <c r="J48" s="70" t="str">
        <f>IF($H48="","",VLOOKUP($H48,'Indoor Data'!$B$6:$O$57,14,FALSE))</f>
        <v>India</v>
      </c>
      <c r="K48" s="70" t="str">
        <f>IF($H48="","",VLOOKUP($H48,'Indoor Data'!$B$6:$O$57,2,FALSE))</f>
        <v>Ducted</v>
      </c>
      <c r="L48" s="70" t="str">
        <f>IF($H48="","",VLOOKUP($H48,'Indoor Data'!$B$6:$O$57,3,FALSE))</f>
        <v>46 - 24.4/17.2</v>
      </c>
      <c r="M48" s="70">
        <f>IF($H48="","",VLOOKUP($H48,'Indoor Data'!$B$6:$O$57,4,FALSE))</f>
        <v>12.4</v>
      </c>
      <c r="N48" s="70">
        <f>IF($H48="","",VLOOKUP($H48,'Indoor Data'!$B$6:$O$57,5,FALSE))</f>
        <v>9.6</v>
      </c>
      <c r="O48" s="71">
        <f>IF($H48="","",VLOOKUP($H48,'Indoor Data'!$B$6:$O$57,6,FALSE))</f>
        <v>650</v>
      </c>
      <c r="P48" s="72">
        <f>IF($H48="","",VLOOKUP($H48,'Indoor Data'!$B$6:$O$57,7,FALSE))</f>
        <v>0.28399999999999997</v>
      </c>
      <c r="Q48" s="70" t="str">
        <f>IF($H48="","",VLOOKUP($H48,'Indoor Data'!$B$6:$O$57,8,FALSE))</f>
        <v>40 - 44</v>
      </c>
      <c r="R48" s="70" t="str">
        <f>IF($H48="","",VLOOKUP($H48,'Indoor Data'!$B$6:$O$57,9,FALSE))</f>
        <v>230V 1ph</v>
      </c>
      <c r="S48" s="70">
        <f>IF($H48="","",VLOOKUP($H48,'Indoor Data'!$B$6:$O$57,10,FALSE))</f>
        <v>3.4</v>
      </c>
      <c r="T48" s="70" t="str">
        <f>IF($H48="","",VLOOKUP($H48,'Indoor Data'!$B$6:$O$57,11,FALSE))</f>
        <v>1,400 x 300 x 700</v>
      </c>
      <c r="U48" s="70">
        <f>IF($H48="","",VLOOKUP($H48,'Indoor Data'!$B$6:$O$57,12,FALSE))</f>
        <v>45</v>
      </c>
      <c r="V48" s="74" t="s">
        <v>23</v>
      </c>
      <c r="W48" s="75" t="s">
        <v>166</v>
      </c>
      <c r="X48" s="76">
        <f>IF($W48="",0,VLOOKUP($W48,'Outdoor Data'!$B$6:$L$16,11,FALSE))</f>
        <v>300</v>
      </c>
      <c r="Y48" s="75"/>
      <c r="Z48" s="75"/>
      <c r="AA48" s="75"/>
      <c r="AB48" s="5">
        <f>IF($W48="","",VLOOKUP($W48,'Outdoor Data'!$B$6:$L$16,4,FALSE))</f>
        <v>10.4</v>
      </c>
      <c r="AC48" s="5" t="str">
        <f>IF($W48="","",VLOOKUP($W48,'Outdoor Data'!$B$6:$L$16,5,FALSE))</f>
        <v>400V 3Nph</v>
      </c>
      <c r="AD48" s="5">
        <f>IF($W48="","",VLOOKUP($W48,'Outdoor Data'!$B$6:$L$16,6,FALSE))</f>
        <v>26.9</v>
      </c>
      <c r="AE48" s="5" t="str">
        <f>IF($W48="","",VLOOKUP($W48,'Outdoor Data'!$B$6:$L$16,7,FALSE))</f>
        <v>-</v>
      </c>
      <c r="AF48" s="5" t="str">
        <f>IF($W48="","",VLOOKUP($W48,'Outdoor Data'!$B$6:$L$16,8,FALSE))</f>
        <v>-</v>
      </c>
      <c r="AG48" s="5" t="str">
        <f>IF($W48="","",VLOOKUP($W48,'Outdoor Data'!$B$6:$L$16,9,FALSE))</f>
        <v>1,240 x 1,657 x 765</v>
      </c>
      <c r="AH48" s="48">
        <f>IF($W48="","",VLOOKUP($W48,'Outdoor Data'!$B$6:$L$16,10,FALSE))</f>
        <v>220</v>
      </c>
      <c r="AJ48" s="52" t="s">
        <v>186</v>
      </c>
      <c r="AK48" s="54">
        <f>(I60/AK47)/25</f>
        <v>15.49090909090909</v>
      </c>
      <c r="AL48" s="52" t="s">
        <v>187</v>
      </c>
    </row>
    <row r="49" spans="2:38" x14ac:dyDescent="0.25">
      <c r="B49" s="104"/>
      <c r="C49" s="58" t="s">
        <v>231</v>
      </c>
      <c r="D49" s="58" t="s">
        <v>232</v>
      </c>
      <c r="E49" s="13">
        <v>5.2</v>
      </c>
      <c r="F49" s="13">
        <v>4.2</v>
      </c>
      <c r="G49" s="18">
        <v>266</v>
      </c>
      <c r="H49" s="83" t="s">
        <v>73</v>
      </c>
      <c r="I49" s="84">
        <f>IF($H49="","",VLOOKUP($H49,'Indoor Data'!$B$6:$O$57,13,FALSE))</f>
        <v>63</v>
      </c>
      <c r="J49" s="70" t="str">
        <f>IF($H49="","",VLOOKUP($H49,'Indoor Data'!$B$6:$O$57,14,FALSE))</f>
        <v>India</v>
      </c>
      <c r="K49" s="70" t="str">
        <f>IF($H49="","",VLOOKUP($H49,'Indoor Data'!$B$6:$O$57,2,FALSE))</f>
        <v>Ducted</v>
      </c>
      <c r="L49" s="70" t="str">
        <f>IF($H49="","",VLOOKUP($H49,'Indoor Data'!$B$6:$O$57,3,FALSE))</f>
        <v>46 - 24.4/17.2</v>
      </c>
      <c r="M49" s="70">
        <f>IF($H49="","",VLOOKUP($H49,'Indoor Data'!$B$6:$O$57,4,FALSE))</f>
        <v>6.2</v>
      </c>
      <c r="N49" s="70">
        <f>IF($H49="","",VLOOKUP($H49,'Indoor Data'!$B$6:$O$57,5,FALSE))</f>
        <v>5.0999999999999996</v>
      </c>
      <c r="O49" s="71">
        <f>IF($H49="","",VLOOKUP($H49,'Indoor Data'!$B$6:$O$57,6,FALSE))</f>
        <v>325</v>
      </c>
      <c r="P49" s="72">
        <f>IF($H49="","",VLOOKUP($H49,'Indoor Data'!$B$6:$O$57,7,FALSE))</f>
        <v>0.13800000000000001</v>
      </c>
      <c r="Q49" s="70" t="str">
        <f>IF($H49="","",VLOOKUP($H49,'Indoor Data'!$B$6:$O$57,8,FALSE))</f>
        <v>38 - 42</v>
      </c>
      <c r="R49" s="70" t="str">
        <f>IF($H49="","",VLOOKUP($H49,'Indoor Data'!$B$6:$O$57,9,FALSE))</f>
        <v>230V 1ph</v>
      </c>
      <c r="S49" s="70">
        <f>IF($H49="","",VLOOKUP($H49,'Indoor Data'!$B$6:$O$57,10,FALSE))</f>
        <v>1.8</v>
      </c>
      <c r="T49" s="70" t="str">
        <f>IF($H49="","",VLOOKUP($H49,'Indoor Data'!$B$6:$O$57,11,FALSE))</f>
        <v>1,000 x 300 x 700</v>
      </c>
      <c r="U49" s="70">
        <f>IF($H49="","",VLOOKUP($H49,'Indoor Data'!$B$6:$O$57,12,FALSE))</f>
        <v>35</v>
      </c>
      <c r="V49" s="74" t="s">
        <v>41</v>
      </c>
      <c r="W49" s="75" t="s">
        <v>163</v>
      </c>
      <c r="X49" s="76">
        <f>IF($W49="",0,VLOOKUP($W49,'Outdoor Data'!$B$6:$L$16,11,FALSE))</f>
        <v>150</v>
      </c>
      <c r="Y49" s="75"/>
      <c r="Z49" s="75"/>
      <c r="AA49" s="75"/>
      <c r="AB49" s="5">
        <f>IF($W49="","",VLOOKUP($W49,'Outdoor Data'!$B$6:$L$16,4,FALSE))</f>
        <v>5.0999999999999996</v>
      </c>
      <c r="AC49" s="5" t="str">
        <f>IF($W49="","",VLOOKUP($W49,'Outdoor Data'!$B$6:$L$16,5,FALSE))</f>
        <v>400V 3Nph</v>
      </c>
      <c r="AD49" s="5">
        <f>IF($W49="","",VLOOKUP($W49,'Outdoor Data'!$B$6:$L$16,6,FALSE))</f>
        <v>16.100000000000001</v>
      </c>
      <c r="AE49" s="5" t="str">
        <f>IF($W49="","",VLOOKUP($W49,'Outdoor Data'!$B$6:$L$16,7,FALSE))</f>
        <v>-</v>
      </c>
      <c r="AF49" s="5" t="str">
        <f>IF($W49="","",VLOOKUP($W49,'Outdoor Data'!$B$6:$L$16,8,FALSE))</f>
        <v>-</v>
      </c>
      <c r="AG49" s="5" t="str">
        <f>IF($W49="","",VLOOKUP($W49,'Outdoor Data'!$B$6:$L$16,9,FALSE))</f>
        <v>930 x 1,657 x 765</v>
      </c>
      <c r="AH49" s="48">
        <f>IF($W49="","",VLOOKUP($W49,'Outdoor Data'!$B$6:$L$16,10,FALSE))</f>
        <v>165</v>
      </c>
    </row>
    <row r="50" spans="2:38" hidden="1" x14ac:dyDescent="0.25">
      <c r="B50" s="104"/>
      <c r="C50" s="58"/>
      <c r="D50" s="58"/>
      <c r="E50" s="13"/>
      <c r="F50" s="13"/>
      <c r="G50" s="18"/>
      <c r="H50" s="83"/>
      <c r="I50" s="84" t="str">
        <f>IF($H50="","",VLOOKUP($H50,'Indoor Data'!$B$6:$O$57,13,FALSE))</f>
        <v/>
      </c>
      <c r="J50" s="70" t="str">
        <f>IF($H50="","",VLOOKUP($H50,'Indoor Data'!$B$6:$O$57,14,FALSE))</f>
        <v/>
      </c>
      <c r="K50" s="70" t="str">
        <f>IF($H50="","",VLOOKUP($H50,'Indoor Data'!$B$6:$O$57,2,FALSE))</f>
        <v/>
      </c>
      <c r="L50" s="70" t="str">
        <f>IF($H50="","",VLOOKUP($H50,'Indoor Data'!$B$6:$O$57,3,FALSE))</f>
        <v/>
      </c>
      <c r="M50" s="70" t="str">
        <f>IF($H50="","",VLOOKUP($H50,'Indoor Data'!$B$6:$O$57,4,FALSE))</f>
        <v/>
      </c>
      <c r="N50" s="70" t="str">
        <f>IF($H50="","",VLOOKUP($H50,'Indoor Data'!$B$6:$O$57,5,FALSE))</f>
        <v/>
      </c>
      <c r="O50" s="71" t="str">
        <f>IF($H50="","",VLOOKUP($H50,'Indoor Data'!$B$6:$O$57,6,FALSE))</f>
        <v/>
      </c>
      <c r="P50" s="72" t="str">
        <f>IF($H50="","",VLOOKUP($H50,'Indoor Data'!$B$6:$O$57,7,FALSE))</f>
        <v/>
      </c>
      <c r="Q50" s="70" t="str">
        <f>IF($H50="","",VLOOKUP($H50,'Indoor Data'!$B$6:$O$57,8,FALSE))</f>
        <v/>
      </c>
      <c r="R50" s="70" t="str">
        <f>IF($H50="","",VLOOKUP($H50,'Indoor Data'!$B$6:$O$57,9,FALSE))</f>
        <v/>
      </c>
      <c r="S50" s="70" t="str">
        <f>IF($H50="","",VLOOKUP($H50,'Indoor Data'!$B$6:$O$57,10,FALSE))</f>
        <v/>
      </c>
      <c r="T50" s="70" t="str">
        <f>IF($H50="","",VLOOKUP($H50,'Indoor Data'!$B$6:$O$57,11,FALSE))</f>
        <v/>
      </c>
      <c r="U50" s="70" t="str">
        <f>IF($H50="","",VLOOKUP($H50,'Indoor Data'!$B$6:$O$57,12,FALSE))</f>
        <v/>
      </c>
      <c r="V50" s="74"/>
      <c r="W50" s="75"/>
      <c r="X50" s="76">
        <f>IF($W50="",0,VLOOKUP($W50,'Outdoor Data'!$B$6:$L$16,11,FALSE))</f>
        <v>0</v>
      </c>
      <c r="Y50" s="75" t="str">
        <f>IF($W50="","",VLOOKUP($W50,'Outdoor Data'!$B$6:$L$16,2,FALSE))</f>
        <v/>
      </c>
      <c r="Z50" s="75" t="str">
        <f>IF($W50="","",VLOOKUP($W50,'Outdoor Data'!$B$6:$L$16,3,FALSE))</f>
        <v/>
      </c>
      <c r="AA50" s="75"/>
      <c r="AB50" s="5" t="str">
        <f>IF($W50="","",VLOOKUP($W50,'Outdoor Data'!$B$6:$L$16,4,FALSE))</f>
        <v/>
      </c>
      <c r="AC50" s="5" t="str">
        <f>IF($W50="","",VLOOKUP($W50,'Outdoor Data'!$B$6:$L$16,5,FALSE))</f>
        <v/>
      </c>
      <c r="AD50" s="5" t="str">
        <f>IF($W50="","",VLOOKUP($W50,'Outdoor Data'!$B$6:$L$16,6,FALSE))</f>
        <v/>
      </c>
      <c r="AE50" s="5" t="str">
        <f>IF($W50="","",VLOOKUP($W50,'Outdoor Data'!$B$6:$L$16,7,FALSE))</f>
        <v/>
      </c>
      <c r="AF50" s="5" t="str">
        <f>IF($W50="","",VLOOKUP($W50,'Outdoor Data'!$B$6:$L$16,8,FALSE))</f>
        <v/>
      </c>
      <c r="AG50" s="5" t="str">
        <f>IF($W50="","",VLOOKUP($W50,'Outdoor Data'!$B$6:$L$16,9,FALSE))</f>
        <v/>
      </c>
      <c r="AH50" s="48" t="str">
        <f>IF($W50="","",VLOOKUP($W50,'Outdoor Data'!$B$6:$L$16,10,FALSE))</f>
        <v/>
      </c>
    </row>
    <row r="51" spans="2:38" hidden="1" x14ac:dyDescent="0.25">
      <c r="B51" s="104"/>
      <c r="C51" s="58"/>
      <c r="D51" s="58"/>
      <c r="E51" s="13"/>
      <c r="F51" s="13"/>
      <c r="G51" s="18"/>
      <c r="H51" s="83"/>
      <c r="I51" s="84" t="str">
        <f>IF($H51="","",VLOOKUP($H51,'Indoor Data'!$B$6:$O$57,13,FALSE))</f>
        <v/>
      </c>
      <c r="J51" s="70" t="str">
        <f>IF($H51="","",VLOOKUP($H51,'Indoor Data'!$B$6:$O$57,14,FALSE))</f>
        <v/>
      </c>
      <c r="K51" s="70" t="str">
        <f>IF($H51="","",VLOOKUP($H51,'Indoor Data'!$B$6:$O$57,2,FALSE))</f>
        <v/>
      </c>
      <c r="L51" s="70" t="str">
        <f>IF($H51="","",VLOOKUP($H51,'Indoor Data'!$B$6:$O$57,3,FALSE))</f>
        <v/>
      </c>
      <c r="M51" s="70" t="str">
        <f>IF($H51="","",VLOOKUP($H51,'Indoor Data'!$B$6:$O$57,4,FALSE))</f>
        <v/>
      </c>
      <c r="N51" s="70" t="str">
        <f>IF($H51="","",VLOOKUP($H51,'Indoor Data'!$B$6:$O$57,5,FALSE))</f>
        <v/>
      </c>
      <c r="O51" s="71" t="str">
        <f>IF($H51="","",VLOOKUP($H51,'Indoor Data'!$B$6:$O$57,6,FALSE))</f>
        <v/>
      </c>
      <c r="P51" s="72" t="str">
        <f>IF($H51="","",VLOOKUP($H51,'Indoor Data'!$B$6:$O$57,7,FALSE))</f>
        <v/>
      </c>
      <c r="Q51" s="70" t="str">
        <f>IF($H51="","",VLOOKUP($H51,'Indoor Data'!$B$6:$O$57,8,FALSE))</f>
        <v/>
      </c>
      <c r="R51" s="70" t="str">
        <f>IF($H51="","",VLOOKUP($H51,'Indoor Data'!$B$6:$O$57,9,FALSE))</f>
        <v/>
      </c>
      <c r="S51" s="70" t="str">
        <f>IF($H51="","",VLOOKUP($H51,'Indoor Data'!$B$6:$O$57,10,FALSE))</f>
        <v/>
      </c>
      <c r="T51" s="70" t="str">
        <f>IF($H51="","",VLOOKUP($H51,'Indoor Data'!$B$6:$O$57,11,FALSE))</f>
        <v/>
      </c>
      <c r="U51" s="70" t="str">
        <f>IF($H51="","",VLOOKUP($H51,'Indoor Data'!$B$6:$O$57,12,FALSE))</f>
        <v/>
      </c>
      <c r="V51" s="74"/>
      <c r="W51" s="75"/>
      <c r="X51" s="76"/>
      <c r="Y51" s="2"/>
      <c r="Z51" s="2"/>
      <c r="AA51" s="2"/>
      <c r="AB51" s="8"/>
      <c r="AC51" s="5"/>
      <c r="AD51" s="24"/>
      <c r="AE51" s="24"/>
      <c r="AF51" s="24"/>
      <c r="AG51" s="8"/>
      <c r="AH51" s="9"/>
    </row>
    <row r="52" spans="2:38" hidden="1" x14ac:dyDescent="0.25">
      <c r="B52" s="104"/>
      <c r="C52" s="58"/>
      <c r="D52" s="58"/>
      <c r="E52" s="13"/>
      <c r="F52" s="13"/>
      <c r="G52" s="18"/>
      <c r="H52" s="83"/>
      <c r="I52" s="84" t="str">
        <f>IF($H52="","",VLOOKUP($H52,'Indoor Data'!$B$6:$O$57,13,FALSE))</f>
        <v/>
      </c>
      <c r="J52" s="70" t="str">
        <f>IF($H52="","",VLOOKUP($H52,'Indoor Data'!$B$6:$O$57,14,FALSE))</f>
        <v/>
      </c>
      <c r="K52" s="70" t="str">
        <f>IF($H52="","",VLOOKUP($H52,'Indoor Data'!$B$6:$O$57,2,FALSE))</f>
        <v/>
      </c>
      <c r="L52" s="70" t="str">
        <f>IF($H52="","",VLOOKUP($H52,'Indoor Data'!$B$6:$O$57,3,FALSE))</f>
        <v/>
      </c>
      <c r="M52" s="70" t="str">
        <f>IF($H52="","",VLOOKUP($H52,'Indoor Data'!$B$6:$O$57,4,FALSE))</f>
        <v/>
      </c>
      <c r="N52" s="70" t="str">
        <f>IF($H52="","",VLOOKUP($H52,'Indoor Data'!$B$6:$O$57,5,FALSE))</f>
        <v/>
      </c>
      <c r="O52" s="71" t="str">
        <f>IF($H52="","",VLOOKUP($H52,'Indoor Data'!$B$6:$O$57,6,FALSE))</f>
        <v/>
      </c>
      <c r="P52" s="72" t="str">
        <f>IF($H52="","",VLOOKUP($H52,'Indoor Data'!$B$6:$O$57,7,FALSE))</f>
        <v/>
      </c>
      <c r="Q52" s="70" t="str">
        <f>IF($H52="","",VLOOKUP($H52,'Indoor Data'!$B$6:$O$57,8,FALSE))</f>
        <v/>
      </c>
      <c r="R52" s="70" t="str">
        <f>IF($H52="","",VLOOKUP($H52,'Indoor Data'!$B$6:$O$57,9,FALSE))</f>
        <v/>
      </c>
      <c r="S52" s="70" t="str">
        <f>IF($H52="","",VLOOKUP($H52,'Indoor Data'!$B$6:$O$57,10,FALSE))</f>
        <v/>
      </c>
      <c r="T52" s="70" t="str">
        <f>IF($H52="","",VLOOKUP($H52,'Indoor Data'!$B$6:$O$57,11,FALSE))</f>
        <v/>
      </c>
      <c r="U52" s="70" t="str">
        <f>IF($H52="","",VLOOKUP($H52,'Indoor Data'!$B$6:$O$57,12,FALSE))</f>
        <v/>
      </c>
      <c r="V52" s="74"/>
      <c r="W52" s="75"/>
      <c r="X52" s="76"/>
      <c r="Y52" s="2"/>
      <c r="Z52" s="2"/>
      <c r="AA52" s="2"/>
      <c r="AB52" s="8"/>
      <c r="AC52" s="5"/>
      <c r="AD52" s="24"/>
      <c r="AE52" s="24"/>
      <c r="AF52" s="24"/>
      <c r="AG52" s="8"/>
      <c r="AH52" s="9"/>
    </row>
    <row r="53" spans="2:38" hidden="1" x14ac:dyDescent="0.25">
      <c r="B53" s="104"/>
      <c r="C53" s="58"/>
      <c r="D53" s="58"/>
      <c r="E53" s="13"/>
      <c r="F53" s="13"/>
      <c r="G53" s="18"/>
      <c r="H53" s="83"/>
      <c r="I53" s="84" t="str">
        <f>IF($H53="","",VLOOKUP($H53,'Indoor Data'!$B$6:$O$57,13,FALSE))</f>
        <v/>
      </c>
      <c r="J53" s="70" t="str">
        <f>IF($H53="","",VLOOKUP($H53,'Indoor Data'!$B$6:$O$57,14,FALSE))</f>
        <v/>
      </c>
      <c r="K53" s="70" t="str">
        <f>IF($H53="","",VLOOKUP($H53,'Indoor Data'!$B$6:$O$57,2,FALSE))</f>
        <v/>
      </c>
      <c r="L53" s="70" t="str">
        <f>IF($H53="","",VLOOKUP($H53,'Indoor Data'!$B$6:$O$57,3,FALSE))</f>
        <v/>
      </c>
      <c r="M53" s="70" t="str">
        <f>IF($H53="","",VLOOKUP($H53,'Indoor Data'!$B$6:$O$57,4,FALSE))</f>
        <v/>
      </c>
      <c r="N53" s="70" t="str">
        <f>IF($H53="","",VLOOKUP($H53,'Indoor Data'!$B$6:$O$57,5,FALSE))</f>
        <v/>
      </c>
      <c r="O53" s="71" t="str">
        <f>IF($H53="","",VLOOKUP($H53,'Indoor Data'!$B$6:$O$57,6,FALSE))</f>
        <v/>
      </c>
      <c r="P53" s="72" t="str">
        <f>IF($H53="","",VLOOKUP($H53,'Indoor Data'!$B$6:$O$57,7,FALSE))</f>
        <v/>
      </c>
      <c r="Q53" s="70" t="str">
        <f>IF($H53="","",VLOOKUP($H53,'Indoor Data'!$B$6:$O$57,8,FALSE))</f>
        <v/>
      </c>
      <c r="R53" s="70" t="str">
        <f>IF($H53="","",VLOOKUP($H53,'Indoor Data'!$B$6:$O$57,9,FALSE))</f>
        <v/>
      </c>
      <c r="S53" s="70" t="str">
        <f>IF($H53="","",VLOOKUP($H53,'Indoor Data'!$B$6:$O$57,10,FALSE))</f>
        <v/>
      </c>
      <c r="T53" s="70" t="str">
        <f>IF($H53="","",VLOOKUP($H53,'Indoor Data'!$B$6:$O$57,11,FALSE))</f>
        <v/>
      </c>
      <c r="U53" s="70" t="str">
        <f>IF($H53="","",VLOOKUP($H53,'Indoor Data'!$B$6:$O$57,12,FALSE))</f>
        <v/>
      </c>
      <c r="V53" s="74"/>
      <c r="W53" s="75"/>
      <c r="X53" s="76"/>
      <c r="Y53" s="2"/>
      <c r="Z53" s="2"/>
      <c r="AA53" s="2"/>
      <c r="AB53" s="8"/>
      <c r="AC53" s="5"/>
      <c r="AD53" s="24"/>
      <c r="AE53" s="24"/>
      <c r="AF53" s="24"/>
      <c r="AG53" s="8"/>
      <c r="AH53" s="9"/>
    </row>
    <row r="54" spans="2:38" hidden="1" x14ac:dyDescent="0.25">
      <c r="B54" s="104"/>
      <c r="C54" s="58"/>
      <c r="D54" s="58"/>
      <c r="E54" s="13"/>
      <c r="F54" s="13"/>
      <c r="G54" s="18"/>
      <c r="H54" s="83"/>
      <c r="I54" s="84" t="str">
        <f>IF($H54="","",VLOOKUP($H54,'Indoor Data'!$B$6:$O$57,13,FALSE))</f>
        <v/>
      </c>
      <c r="J54" s="70" t="str">
        <f>IF($H54="","",VLOOKUP($H54,'Indoor Data'!$B$6:$O$57,14,FALSE))</f>
        <v/>
      </c>
      <c r="K54" s="70" t="str">
        <f>IF($H54="","",VLOOKUP($H54,'Indoor Data'!$B$6:$O$57,2,FALSE))</f>
        <v/>
      </c>
      <c r="L54" s="70" t="str">
        <f>IF($H54="","",VLOOKUP($H54,'Indoor Data'!$B$6:$O$57,3,FALSE))</f>
        <v/>
      </c>
      <c r="M54" s="70" t="str">
        <f>IF($H54="","",VLOOKUP($H54,'Indoor Data'!$B$6:$O$57,4,FALSE))</f>
        <v/>
      </c>
      <c r="N54" s="70" t="str">
        <f>IF($H54="","",VLOOKUP($H54,'Indoor Data'!$B$6:$O$57,5,FALSE))</f>
        <v/>
      </c>
      <c r="O54" s="71" t="str">
        <f>IF($H54="","",VLOOKUP($H54,'Indoor Data'!$B$6:$O$57,6,FALSE))</f>
        <v/>
      </c>
      <c r="P54" s="72" t="str">
        <f>IF($H54="","",VLOOKUP($H54,'Indoor Data'!$B$6:$O$57,7,FALSE))</f>
        <v/>
      </c>
      <c r="Q54" s="70" t="str">
        <f>IF($H54="","",VLOOKUP($H54,'Indoor Data'!$B$6:$O$57,8,FALSE))</f>
        <v/>
      </c>
      <c r="R54" s="70" t="str">
        <f>IF($H54="","",VLOOKUP($H54,'Indoor Data'!$B$6:$O$57,9,FALSE))</f>
        <v/>
      </c>
      <c r="S54" s="70" t="str">
        <f>IF($H54="","",VLOOKUP($H54,'Indoor Data'!$B$6:$O$57,10,FALSE))</f>
        <v/>
      </c>
      <c r="T54" s="70" t="str">
        <f>IF($H54="","",VLOOKUP($H54,'Indoor Data'!$B$6:$O$57,11,FALSE))</f>
        <v/>
      </c>
      <c r="U54" s="70" t="str">
        <f>IF($H54="","",VLOOKUP($H54,'Indoor Data'!$B$6:$O$57,12,FALSE))</f>
        <v/>
      </c>
      <c r="V54" s="74"/>
      <c r="W54" s="75"/>
      <c r="X54" s="76"/>
      <c r="Y54" s="2"/>
      <c r="Z54" s="2"/>
      <c r="AA54" s="2"/>
      <c r="AB54" s="8"/>
      <c r="AC54" s="5"/>
      <c r="AD54" s="24"/>
      <c r="AE54" s="24"/>
      <c r="AF54" s="24"/>
      <c r="AG54" s="8"/>
      <c r="AH54" s="9"/>
    </row>
    <row r="55" spans="2:38" hidden="1" x14ac:dyDescent="0.25">
      <c r="B55" s="104"/>
      <c r="C55" s="58"/>
      <c r="D55" s="58"/>
      <c r="E55" s="13"/>
      <c r="F55" s="13"/>
      <c r="G55" s="18"/>
      <c r="H55" s="83"/>
      <c r="I55" s="84" t="str">
        <f>IF($H55="","",VLOOKUP($H55,'Indoor Data'!$B$6:$O$57,13,FALSE))</f>
        <v/>
      </c>
      <c r="J55" s="70" t="str">
        <f>IF($H55="","",VLOOKUP($H55,'Indoor Data'!$B$6:$O$57,14,FALSE))</f>
        <v/>
      </c>
      <c r="K55" s="70" t="str">
        <f>IF($H55="","",VLOOKUP($H55,'Indoor Data'!$B$6:$O$57,2,FALSE))</f>
        <v/>
      </c>
      <c r="L55" s="70" t="str">
        <f>IF($H55="","",VLOOKUP($H55,'Indoor Data'!$B$6:$O$57,3,FALSE))</f>
        <v/>
      </c>
      <c r="M55" s="70" t="str">
        <f>IF($H55="","",VLOOKUP($H55,'Indoor Data'!$B$6:$O$57,4,FALSE))</f>
        <v/>
      </c>
      <c r="N55" s="70" t="str">
        <f>IF($H55="","",VLOOKUP($H55,'Indoor Data'!$B$6:$O$57,5,FALSE))</f>
        <v/>
      </c>
      <c r="O55" s="71" t="str">
        <f>IF($H55="","",VLOOKUP($H55,'Indoor Data'!$B$6:$O$57,6,FALSE))</f>
        <v/>
      </c>
      <c r="P55" s="72" t="str">
        <f>IF($H55="","",VLOOKUP($H55,'Indoor Data'!$B$6:$O$57,7,FALSE))</f>
        <v/>
      </c>
      <c r="Q55" s="70" t="str">
        <f>IF($H55="","",VLOOKUP($H55,'Indoor Data'!$B$6:$O$57,8,FALSE))</f>
        <v/>
      </c>
      <c r="R55" s="70" t="str">
        <f>IF($H55="","",VLOOKUP($H55,'Indoor Data'!$B$6:$O$57,9,FALSE))</f>
        <v/>
      </c>
      <c r="S55" s="70" t="str">
        <f>IF($H55="","",VLOOKUP($H55,'Indoor Data'!$B$6:$O$57,10,FALSE))</f>
        <v/>
      </c>
      <c r="T55" s="70" t="str">
        <f>IF($H55="","",VLOOKUP($H55,'Indoor Data'!$B$6:$O$57,11,FALSE))</f>
        <v/>
      </c>
      <c r="U55" s="70" t="str">
        <f>IF($H55="","",VLOOKUP($H55,'Indoor Data'!$B$6:$O$57,12,FALSE))</f>
        <v/>
      </c>
      <c r="V55" s="74"/>
      <c r="W55" s="75"/>
      <c r="X55" s="76"/>
      <c r="Y55" s="2"/>
      <c r="Z55" s="2"/>
      <c r="AA55" s="2"/>
      <c r="AB55" s="8"/>
      <c r="AC55" s="5"/>
      <c r="AD55" s="24"/>
      <c r="AE55" s="24"/>
      <c r="AF55" s="24"/>
      <c r="AG55" s="8"/>
      <c r="AH55" s="9"/>
    </row>
    <row r="56" spans="2:38" hidden="1" x14ac:dyDescent="0.25">
      <c r="B56" s="104"/>
      <c r="C56" s="58"/>
      <c r="D56" s="58"/>
      <c r="E56" s="13"/>
      <c r="F56" s="13"/>
      <c r="G56" s="18"/>
      <c r="H56" s="83"/>
      <c r="I56" s="84" t="str">
        <f>IF($H56="","",VLOOKUP($H56,'Indoor Data'!$B$6:$O$57,13,FALSE))</f>
        <v/>
      </c>
      <c r="J56" s="70" t="str">
        <f>IF($H56="","",VLOOKUP($H56,'Indoor Data'!$B$6:$O$57,14,FALSE))</f>
        <v/>
      </c>
      <c r="K56" s="70" t="str">
        <f>IF($H56="","",VLOOKUP($H56,'Indoor Data'!$B$6:$O$57,2,FALSE))</f>
        <v/>
      </c>
      <c r="L56" s="70" t="str">
        <f>IF($H56="","",VLOOKUP($H56,'Indoor Data'!$B$6:$O$57,3,FALSE))</f>
        <v/>
      </c>
      <c r="M56" s="70" t="str">
        <f>IF($H56="","",VLOOKUP($H56,'Indoor Data'!$B$6:$O$57,4,FALSE))</f>
        <v/>
      </c>
      <c r="N56" s="70" t="str">
        <f>IF($H56="","",VLOOKUP($H56,'Indoor Data'!$B$6:$O$57,5,FALSE))</f>
        <v/>
      </c>
      <c r="O56" s="71" t="str">
        <f>IF($H56="","",VLOOKUP($H56,'Indoor Data'!$B$6:$O$57,6,FALSE))</f>
        <v/>
      </c>
      <c r="P56" s="72" t="str">
        <f>IF($H56="","",VLOOKUP($H56,'Indoor Data'!$B$6:$O$57,7,FALSE))</f>
        <v/>
      </c>
      <c r="Q56" s="70" t="str">
        <f>IF($H56="","",VLOOKUP($H56,'Indoor Data'!$B$6:$O$57,8,FALSE))</f>
        <v/>
      </c>
      <c r="R56" s="70" t="str">
        <f>IF($H56="","",VLOOKUP($H56,'Indoor Data'!$B$6:$O$57,9,FALSE))</f>
        <v/>
      </c>
      <c r="S56" s="70" t="str">
        <f>IF($H56="","",VLOOKUP($H56,'Indoor Data'!$B$6:$O$57,10,FALSE))</f>
        <v/>
      </c>
      <c r="T56" s="70" t="str">
        <f>IF($H56="","",VLOOKUP($H56,'Indoor Data'!$B$6:$O$57,11,FALSE))</f>
        <v/>
      </c>
      <c r="U56" s="70" t="str">
        <f>IF($H56="","",VLOOKUP($H56,'Indoor Data'!$B$6:$O$57,12,FALSE))</f>
        <v/>
      </c>
      <c r="V56" s="74"/>
      <c r="W56" s="75"/>
      <c r="X56" s="76"/>
      <c r="Y56" s="2"/>
      <c r="Z56" s="2"/>
      <c r="AA56" s="2"/>
      <c r="AB56" s="8"/>
      <c r="AC56" s="5"/>
      <c r="AD56" s="24"/>
      <c r="AE56" s="24"/>
      <c r="AF56" s="24"/>
      <c r="AG56" s="8"/>
      <c r="AH56" s="9"/>
    </row>
    <row r="57" spans="2:38" hidden="1" x14ac:dyDescent="0.25">
      <c r="B57" s="104"/>
      <c r="C57" s="58"/>
      <c r="D57" s="58"/>
      <c r="E57" s="13"/>
      <c r="F57" s="13"/>
      <c r="G57" s="18"/>
      <c r="H57" s="83"/>
      <c r="I57" s="84" t="str">
        <f>IF($H57="","",VLOOKUP($H57,'Indoor Data'!$B$6:$O$57,13,FALSE))</f>
        <v/>
      </c>
      <c r="J57" s="70" t="str">
        <f>IF($H57="","",VLOOKUP($H57,'Indoor Data'!$B$6:$O$57,14,FALSE))</f>
        <v/>
      </c>
      <c r="K57" s="70" t="str">
        <f>IF($H57="","",VLOOKUP($H57,'Indoor Data'!$B$6:$O$57,2,FALSE))</f>
        <v/>
      </c>
      <c r="L57" s="70" t="str">
        <f>IF($H57="","",VLOOKUP($H57,'Indoor Data'!$B$6:$O$57,3,FALSE))</f>
        <v/>
      </c>
      <c r="M57" s="70" t="str">
        <f>IF($H57="","",VLOOKUP($H57,'Indoor Data'!$B$6:$O$57,4,FALSE))</f>
        <v/>
      </c>
      <c r="N57" s="70" t="str">
        <f>IF($H57="","",VLOOKUP($H57,'Indoor Data'!$B$6:$O$57,5,FALSE))</f>
        <v/>
      </c>
      <c r="O57" s="71" t="str">
        <f>IF($H57="","",VLOOKUP($H57,'Indoor Data'!$B$6:$O$57,6,FALSE))</f>
        <v/>
      </c>
      <c r="P57" s="72" t="str">
        <f>IF($H57="","",VLOOKUP($H57,'Indoor Data'!$B$6:$O$57,7,FALSE))</f>
        <v/>
      </c>
      <c r="Q57" s="70" t="str">
        <f>IF($H57="","",VLOOKUP($H57,'Indoor Data'!$B$6:$O$57,8,FALSE))</f>
        <v/>
      </c>
      <c r="R57" s="70" t="str">
        <f>IF($H57="","",VLOOKUP($H57,'Indoor Data'!$B$6:$O$57,9,FALSE))</f>
        <v/>
      </c>
      <c r="S57" s="70" t="str">
        <f>IF($H57="","",VLOOKUP($H57,'Indoor Data'!$B$6:$O$57,10,FALSE))</f>
        <v/>
      </c>
      <c r="T57" s="70" t="str">
        <f>IF($H57="","",VLOOKUP($H57,'Indoor Data'!$B$6:$O$57,11,FALSE))</f>
        <v/>
      </c>
      <c r="U57" s="70" t="str">
        <f>IF($H57="","",VLOOKUP($H57,'Indoor Data'!$B$6:$O$57,12,FALSE))</f>
        <v/>
      </c>
      <c r="V57" s="74"/>
      <c r="W57" s="75"/>
      <c r="X57" s="76"/>
      <c r="Y57" s="2"/>
      <c r="Z57" s="2"/>
      <c r="AA57" s="2"/>
      <c r="AB57" s="8"/>
      <c r="AC57" s="5"/>
      <c r="AD57" s="24"/>
      <c r="AE57" s="24"/>
      <c r="AF57" s="24"/>
      <c r="AG57" s="8"/>
      <c r="AH57" s="9"/>
    </row>
    <row r="58" spans="2:38" hidden="1" x14ac:dyDescent="0.25">
      <c r="B58" s="104"/>
      <c r="C58" s="58"/>
      <c r="D58" s="58"/>
      <c r="E58" s="13"/>
      <c r="F58" s="13"/>
      <c r="G58" s="18"/>
      <c r="H58" s="83"/>
      <c r="I58" s="84" t="str">
        <f>IF($H58="","",VLOOKUP($H58,'Indoor Data'!$B$6:$O$57,13,FALSE))</f>
        <v/>
      </c>
      <c r="J58" s="70" t="str">
        <f>IF($H58="","",VLOOKUP($H58,'Indoor Data'!$B$6:$O$57,14,FALSE))</f>
        <v/>
      </c>
      <c r="K58" s="70" t="str">
        <f>IF($H58="","",VLOOKUP($H58,'Indoor Data'!$B$6:$O$57,2,FALSE))</f>
        <v/>
      </c>
      <c r="L58" s="70" t="str">
        <f>IF($H58="","",VLOOKUP($H58,'Indoor Data'!$B$6:$O$57,3,FALSE))</f>
        <v/>
      </c>
      <c r="M58" s="70" t="str">
        <f>IF($H58="","",VLOOKUP($H58,'Indoor Data'!$B$6:$O$57,4,FALSE))</f>
        <v/>
      </c>
      <c r="N58" s="70" t="str">
        <f>IF($H58="","",VLOOKUP($H58,'Indoor Data'!$B$6:$O$57,5,FALSE))</f>
        <v/>
      </c>
      <c r="O58" s="71" t="str">
        <f>IF($H58="","",VLOOKUP($H58,'Indoor Data'!$B$6:$O$57,6,FALSE))</f>
        <v/>
      </c>
      <c r="P58" s="72" t="str">
        <f>IF($H58="","",VLOOKUP($H58,'Indoor Data'!$B$6:$O$57,7,FALSE))</f>
        <v/>
      </c>
      <c r="Q58" s="70" t="str">
        <f>IF($H58="","",VLOOKUP($H58,'Indoor Data'!$B$6:$O$57,8,FALSE))</f>
        <v/>
      </c>
      <c r="R58" s="70" t="str">
        <f>IF($H58="","",VLOOKUP($H58,'Indoor Data'!$B$6:$O$57,9,FALSE))</f>
        <v/>
      </c>
      <c r="S58" s="70" t="str">
        <f>IF($H58="","",VLOOKUP($H58,'Indoor Data'!$B$6:$O$57,10,FALSE))</f>
        <v/>
      </c>
      <c r="T58" s="70" t="str">
        <f>IF($H58="","",VLOOKUP($H58,'Indoor Data'!$B$6:$O$57,11,FALSE))</f>
        <v/>
      </c>
      <c r="U58" s="70" t="str">
        <f>IF($H58="","",VLOOKUP($H58,'Indoor Data'!$B$6:$O$57,12,FALSE))</f>
        <v/>
      </c>
      <c r="V58" s="74"/>
      <c r="W58" s="75"/>
      <c r="X58" s="76"/>
      <c r="Y58" s="2"/>
      <c r="Z58" s="2"/>
      <c r="AA58" s="2"/>
      <c r="AB58" s="8"/>
      <c r="AC58" s="5"/>
      <c r="AD58" s="24"/>
      <c r="AE58" s="24"/>
      <c r="AF58" s="24"/>
      <c r="AG58" s="8"/>
      <c r="AH58" s="9"/>
    </row>
    <row r="59" spans="2:38" hidden="1" x14ac:dyDescent="0.25">
      <c r="B59" s="105"/>
      <c r="C59" s="58"/>
      <c r="D59" s="58"/>
      <c r="E59" s="13"/>
      <c r="F59" s="13"/>
      <c r="G59" s="18"/>
      <c r="H59" s="83"/>
      <c r="I59" s="84" t="str">
        <f>IF($H59="","",VLOOKUP($H59,'Indoor Data'!$B$6:$O$57,13,FALSE))</f>
        <v/>
      </c>
      <c r="J59" s="70" t="str">
        <f>IF($H59="","",VLOOKUP($H59,'Indoor Data'!$B$6:$O$57,14,FALSE))</f>
        <v/>
      </c>
      <c r="K59" s="70" t="str">
        <f>IF($H59="","",VLOOKUP($H59,'Indoor Data'!$B$6:$O$57,2,FALSE))</f>
        <v/>
      </c>
      <c r="L59" s="70" t="str">
        <f>IF($H59="","",VLOOKUP($H59,'Indoor Data'!$B$6:$O$57,3,FALSE))</f>
        <v/>
      </c>
      <c r="M59" s="70" t="str">
        <f>IF($H59="","",VLOOKUP($H59,'Indoor Data'!$B$6:$O$57,4,FALSE))</f>
        <v/>
      </c>
      <c r="N59" s="70" t="str">
        <f>IF($H59="","",VLOOKUP($H59,'Indoor Data'!$B$6:$O$57,5,FALSE))</f>
        <v/>
      </c>
      <c r="O59" s="71" t="str">
        <f>IF($H59="","",VLOOKUP($H59,'Indoor Data'!$B$6:$O$57,6,FALSE))</f>
        <v/>
      </c>
      <c r="P59" s="72" t="str">
        <f>IF($H59="","",VLOOKUP($H59,'Indoor Data'!$B$6:$O$57,7,FALSE))</f>
        <v/>
      </c>
      <c r="Q59" s="70" t="str">
        <f>IF($H59="","",VLOOKUP($H59,'Indoor Data'!$B$6:$O$57,8,FALSE))</f>
        <v/>
      </c>
      <c r="R59" s="70" t="str">
        <f>IF($H59="","",VLOOKUP($H59,'Indoor Data'!$B$6:$O$57,9,FALSE))</f>
        <v/>
      </c>
      <c r="S59" s="70" t="str">
        <f>IF($H59="","",VLOOKUP($H59,'Indoor Data'!$B$6:$O$57,10,FALSE))</f>
        <v/>
      </c>
      <c r="T59" s="70" t="str">
        <f>IF($H59="","",VLOOKUP($H59,'Indoor Data'!$B$6:$O$57,11,FALSE))</f>
        <v/>
      </c>
      <c r="U59" s="70" t="str">
        <f>IF($H59="","",VLOOKUP($H59,'Indoor Data'!$B$6:$O$57,12,FALSE))</f>
        <v/>
      </c>
      <c r="V59" s="79"/>
      <c r="W59" s="78"/>
      <c r="X59" s="80"/>
      <c r="Y59" s="78"/>
      <c r="Z59" s="78"/>
      <c r="AA59" s="78"/>
      <c r="AB59" s="7"/>
      <c r="AC59" s="8"/>
      <c r="AD59" s="3"/>
      <c r="AE59" s="3"/>
      <c r="AF59" s="3"/>
      <c r="AG59" s="5"/>
      <c r="AH59" s="4"/>
    </row>
    <row r="60" spans="2:38" ht="15" thickBot="1" x14ac:dyDescent="0.3">
      <c r="B60" s="31"/>
      <c r="C60" s="32"/>
      <c r="D60" s="32"/>
      <c r="E60" s="33">
        <f>SUM(E45:E59)</f>
        <v>36.800000000000004</v>
      </c>
      <c r="F60" s="33">
        <f>SUM(F45:F59)</f>
        <v>29.2</v>
      </c>
      <c r="G60" s="34">
        <f>SUM(G45:G59)</f>
        <v>1893</v>
      </c>
      <c r="H60" s="35"/>
      <c r="I60" s="51">
        <f>SUM(I45:I59)</f>
        <v>426</v>
      </c>
      <c r="J60" s="36"/>
      <c r="K60" s="36"/>
      <c r="L60" s="36"/>
      <c r="M60" s="37">
        <f>SUM(M45:M59)</f>
        <v>42.1</v>
      </c>
      <c r="N60" s="37">
        <f>SUM(N45:N59)</f>
        <v>33.6</v>
      </c>
      <c r="O60" s="38">
        <f>SUM(O45:O59)</f>
        <v>2250</v>
      </c>
      <c r="P60" s="39">
        <f>SUM(P45:P59)</f>
        <v>0.97200000000000009</v>
      </c>
      <c r="Q60" s="36"/>
      <c r="R60" s="36"/>
      <c r="S60" s="40"/>
      <c r="T60" s="36"/>
      <c r="U60" s="41"/>
      <c r="V60" s="42"/>
      <c r="W60" s="43"/>
      <c r="X60" s="50">
        <f>X50+X49+X48+X46</f>
        <v>450</v>
      </c>
      <c r="Y60" s="43"/>
      <c r="Z60" s="43"/>
      <c r="AA60" s="43"/>
      <c r="AB60" s="44">
        <f>SUM(AB45:AB59)</f>
        <v>15.5</v>
      </c>
      <c r="AC60" s="43"/>
      <c r="AD60" s="43"/>
      <c r="AE60" s="43"/>
      <c r="AF60" s="43"/>
      <c r="AG60" s="43"/>
      <c r="AH60" s="45"/>
    </row>
    <row r="61" spans="2:38" ht="15" hidden="1" thickBot="1" x14ac:dyDescent="0.3">
      <c r="B61" s="119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1"/>
    </row>
    <row r="62" spans="2:38" hidden="1" x14ac:dyDescent="0.25">
      <c r="B62" s="103" t="s">
        <v>184</v>
      </c>
      <c r="C62" s="57"/>
      <c r="D62" s="57"/>
      <c r="E62" s="16"/>
      <c r="F62" s="16"/>
      <c r="G62" s="17"/>
      <c r="H62" s="81"/>
      <c r="I62" s="82" t="str">
        <f>IF($H62="","",VLOOKUP($H62,'Indoor Data'!$B$6:$O$57,13,FALSE))</f>
        <v/>
      </c>
      <c r="J62" s="61" t="str">
        <f>IF($H62="","",VLOOKUP($H62,'Indoor Data'!$B$6:$O$57,14,FALSE))</f>
        <v/>
      </c>
      <c r="K62" s="61" t="str">
        <f>IF($H62="","",VLOOKUP($H62,'Indoor Data'!$B$6:$O$57,2,FALSE))</f>
        <v/>
      </c>
      <c r="L62" s="61" t="str">
        <f>IF($H62="","",VLOOKUP($H62,'Indoor Data'!$B$6:$O$57,3,FALSE))</f>
        <v/>
      </c>
      <c r="M62" s="61" t="str">
        <f>IF($H62="","",VLOOKUP($H62,'Indoor Data'!$B$6:$O$57,4,FALSE))</f>
        <v/>
      </c>
      <c r="N62" s="61" t="str">
        <f>IF($H62="","",VLOOKUP($H62,'Indoor Data'!$B$6:$O$57,5,FALSE))</f>
        <v/>
      </c>
      <c r="O62" s="62" t="str">
        <f>IF($H62="","",VLOOKUP($H62,'Indoor Data'!$B$6:$O$57,6,FALSE))</f>
        <v/>
      </c>
      <c r="P62" s="63" t="str">
        <f>IF($H62="","",VLOOKUP($H62,'Indoor Data'!$B$6:$O$57,7,FALSE))</f>
        <v/>
      </c>
      <c r="Q62" s="61" t="str">
        <f>IF($H62="","",VLOOKUP($H62,'Indoor Data'!$B$6:$O$57,8,FALSE))</f>
        <v/>
      </c>
      <c r="R62" s="61" t="str">
        <f>IF($H62="","",VLOOKUP($H62,'Indoor Data'!$B$6:$O$57,9,FALSE))</f>
        <v/>
      </c>
      <c r="S62" s="61" t="str">
        <f>IF($H62="","",VLOOKUP($H62,'Indoor Data'!$B$6:$O$57,10,FALSE))</f>
        <v/>
      </c>
      <c r="T62" s="61" t="str">
        <f>IF($H62="","",VLOOKUP($H62,'Indoor Data'!$B$6:$O$57,11,FALSE))</f>
        <v/>
      </c>
      <c r="U62" s="61" t="str">
        <f>IF($H62="","",VLOOKUP($H62,'Indoor Data'!$B$6:$O$57,12,FALSE))</f>
        <v/>
      </c>
      <c r="V62" s="65"/>
      <c r="W62" s="66"/>
      <c r="X62" s="67"/>
      <c r="Y62" s="66"/>
      <c r="Z62" s="66"/>
      <c r="AA62" s="66"/>
      <c r="AB62" s="10"/>
      <c r="AC62" s="10"/>
      <c r="AD62" s="10"/>
      <c r="AE62" s="10"/>
      <c r="AF62" s="10"/>
      <c r="AG62" s="10"/>
      <c r="AH62" s="11"/>
    </row>
    <row r="63" spans="2:38" hidden="1" x14ac:dyDescent="0.25">
      <c r="B63" s="104"/>
      <c r="C63" s="58"/>
      <c r="D63" s="58"/>
      <c r="E63" s="13"/>
      <c r="F63" s="13"/>
      <c r="G63" s="18"/>
      <c r="H63" s="83"/>
      <c r="I63" s="84" t="str">
        <f>IF($H63="","",VLOOKUP($H63,'Indoor Data'!$B$6:$O$57,13,FALSE))</f>
        <v/>
      </c>
      <c r="J63" s="70" t="str">
        <f>IF($H63="","",VLOOKUP($H63,'Indoor Data'!$B$6:$O$57,14,FALSE))</f>
        <v/>
      </c>
      <c r="K63" s="70" t="str">
        <f>IF($H63="","",VLOOKUP($H63,'Indoor Data'!$B$6:$O$57,2,FALSE))</f>
        <v/>
      </c>
      <c r="L63" s="70" t="str">
        <f>IF($H63="","",VLOOKUP($H63,'Indoor Data'!$B$6:$O$57,3,FALSE))</f>
        <v/>
      </c>
      <c r="M63" s="70" t="str">
        <f>IF($H63="","",VLOOKUP($H63,'Indoor Data'!$B$6:$O$57,4,FALSE))</f>
        <v/>
      </c>
      <c r="N63" s="70" t="str">
        <f>IF($H63="","",VLOOKUP($H63,'Indoor Data'!$B$6:$O$57,5,FALSE))</f>
        <v/>
      </c>
      <c r="O63" s="71" t="str">
        <f>IF($H63="","",VLOOKUP($H63,'Indoor Data'!$B$6:$O$57,6,FALSE))</f>
        <v/>
      </c>
      <c r="P63" s="72" t="str">
        <f>IF($H63="","",VLOOKUP($H63,'Indoor Data'!$B$6:$O$57,7,FALSE))</f>
        <v/>
      </c>
      <c r="Q63" s="70" t="str">
        <f>IF($H63="","",VLOOKUP($H63,'Indoor Data'!$B$6:$O$57,8,FALSE))</f>
        <v/>
      </c>
      <c r="R63" s="70" t="str">
        <f>IF($H63="","",VLOOKUP($H63,'Indoor Data'!$B$6:$O$57,9,FALSE))</f>
        <v/>
      </c>
      <c r="S63" s="70" t="str">
        <f>IF($H63="","",VLOOKUP($H63,'Indoor Data'!$B$6:$O$57,10,FALSE))</f>
        <v/>
      </c>
      <c r="T63" s="70" t="str">
        <f>IF($H63="","",VLOOKUP($H63,'Indoor Data'!$B$6:$O$57,11,FALSE))</f>
        <v/>
      </c>
      <c r="U63" s="70" t="str">
        <f>IF($H63="","",VLOOKUP($H63,'Indoor Data'!$B$6:$O$57,12,FALSE))</f>
        <v/>
      </c>
      <c r="V63" s="74" t="s">
        <v>178</v>
      </c>
      <c r="W63" s="75"/>
      <c r="X63" s="76">
        <f>IF($W63="",0,VLOOKUP($W63,'Outdoor Data'!$B$6:$L$16,11,FALSE))</f>
        <v>0</v>
      </c>
      <c r="Y63" s="75" t="str">
        <f>IF($W63="","",VLOOKUP($W63,'Outdoor Data'!$B$6:$L$16,2,FALSE))</f>
        <v/>
      </c>
      <c r="Z63" s="75" t="str">
        <f>IF($W63="","",VLOOKUP($W63,'Outdoor Data'!$B$6:$L$16,3,FALSE))</f>
        <v/>
      </c>
      <c r="AA63" s="77" t="str">
        <f>IF(W63="","",I77/X77)</f>
        <v/>
      </c>
      <c r="AB63" s="5" t="str">
        <f>IF($W63="","",VLOOKUP($W63,'Outdoor Data'!$B$6:$L$16,4,FALSE))</f>
        <v/>
      </c>
      <c r="AC63" s="5" t="str">
        <f>IF($W63="","",VLOOKUP($W63,'Outdoor Data'!$B$6:$L$16,5,FALSE))</f>
        <v/>
      </c>
      <c r="AD63" s="5" t="str">
        <f>IF($W63="","",VLOOKUP($W63,'Outdoor Data'!$B$6:$L$16,6,FALSE))</f>
        <v/>
      </c>
      <c r="AE63" s="5" t="str">
        <f>IF($W63="","",VLOOKUP($W63,'Outdoor Data'!$B$6:$L$16,7,FALSE))</f>
        <v/>
      </c>
      <c r="AF63" s="5" t="str">
        <f>IF($W63="","",VLOOKUP($W63,'Outdoor Data'!$B$6:$L$16,8,FALSE))</f>
        <v/>
      </c>
      <c r="AG63" s="5" t="str">
        <f>IF($W63="","",VLOOKUP($W63,'Outdoor Data'!$B$6:$L$16,9,FALSE))</f>
        <v/>
      </c>
      <c r="AH63" s="48" t="str">
        <f>IF($W63="","",VLOOKUP($W63,'Outdoor Data'!$B$6:$L$16,10,FALSE))</f>
        <v/>
      </c>
    </row>
    <row r="64" spans="2:38" hidden="1" x14ac:dyDescent="0.25">
      <c r="B64" s="104"/>
      <c r="C64" s="58"/>
      <c r="D64" s="58"/>
      <c r="E64" s="13"/>
      <c r="F64" s="13"/>
      <c r="G64" s="18"/>
      <c r="H64" s="83"/>
      <c r="I64" s="84" t="str">
        <f>IF($H64="","",VLOOKUP($H64,'Indoor Data'!$B$6:$O$57,13,FALSE))</f>
        <v/>
      </c>
      <c r="J64" s="70" t="str">
        <f>IF($H64="","",VLOOKUP($H64,'Indoor Data'!$B$6:$O$57,14,FALSE))</f>
        <v/>
      </c>
      <c r="K64" s="70" t="str">
        <f>IF($H64="","",VLOOKUP($H64,'Indoor Data'!$B$6:$O$57,2,FALSE))</f>
        <v/>
      </c>
      <c r="L64" s="70" t="str">
        <f>IF($H64="","",VLOOKUP($H64,'Indoor Data'!$B$6:$O$57,3,FALSE))</f>
        <v/>
      </c>
      <c r="M64" s="70" t="str">
        <f>IF($H64="","",VLOOKUP($H64,'Indoor Data'!$B$6:$O$57,4,FALSE))</f>
        <v/>
      </c>
      <c r="N64" s="70" t="str">
        <f>IF($H64="","",VLOOKUP($H64,'Indoor Data'!$B$6:$O$57,5,FALSE))</f>
        <v/>
      </c>
      <c r="O64" s="71" t="str">
        <f>IF($H64="","",VLOOKUP($H64,'Indoor Data'!$B$6:$O$57,6,FALSE))</f>
        <v/>
      </c>
      <c r="P64" s="72" t="str">
        <f>IF($H64="","",VLOOKUP($H64,'Indoor Data'!$B$6:$O$57,7,FALSE))</f>
        <v/>
      </c>
      <c r="Q64" s="70" t="str">
        <f>IF($H64="","",VLOOKUP($H64,'Indoor Data'!$B$6:$O$57,8,FALSE))</f>
        <v/>
      </c>
      <c r="R64" s="70" t="str">
        <f>IF($H64="","",VLOOKUP($H64,'Indoor Data'!$B$6:$O$57,9,FALSE))</f>
        <v/>
      </c>
      <c r="S64" s="70" t="str">
        <f>IF($H64="","",VLOOKUP($H64,'Indoor Data'!$B$6:$O$57,10,FALSE))</f>
        <v/>
      </c>
      <c r="T64" s="70" t="str">
        <f>IF($H64="","",VLOOKUP($H64,'Indoor Data'!$B$6:$O$57,11,FALSE))</f>
        <v/>
      </c>
      <c r="U64" s="70" t="str">
        <f>IF($H64="","",VLOOKUP($H64,'Indoor Data'!$B$6:$O$57,12,FALSE))</f>
        <v/>
      </c>
      <c r="V64" s="74" t="s">
        <v>179</v>
      </c>
      <c r="W64" s="75"/>
      <c r="X64" s="76"/>
      <c r="Y64" s="75"/>
      <c r="Z64" s="75"/>
      <c r="AA64" s="77" t="str">
        <f>IF(W65="","",I77/X77)</f>
        <v/>
      </c>
      <c r="AB64" s="5"/>
      <c r="AC64" s="5"/>
      <c r="AD64" s="5"/>
      <c r="AE64" s="5"/>
      <c r="AF64" s="5"/>
      <c r="AG64" s="5"/>
      <c r="AH64" s="48"/>
      <c r="AJ64" s="52" t="s">
        <v>185</v>
      </c>
      <c r="AK64" s="53">
        <v>1.1000000000000001</v>
      </c>
      <c r="AL64" s="52"/>
    </row>
    <row r="65" spans="2:38" hidden="1" x14ac:dyDescent="0.25">
      <c r="B65" s="104"/>
      <c r="C65" s="58"/>
      <c r="D65" s="58"/>
      <c r="E65" s="13"/>
      <c r="F65" s="13"/>
      <c r="G65" s="18"/>
      <c r="H65" s="83"/>
      <c r="I65" s="84" t="str">
        <f>IF($H65="","",VLOOKUP($H65,'Indoor Data'!$B$6:$O$57,13,FALSE))</f>
        <v/>
      </c>
      <c r="J65" s="70" t="str">
        <f>IF($H65="","",VLOOKUP($H65,'Indoor Data'!$B$6:$O$57,14,FALSE))</f>
        <v/>
      </c>
      <c r="K65" s="70" t="str">
        <f>IF($H65="","",VLOOKUP($H65,'Indoor Data'!$B$6:$O$57,2,FALSE))</f>
        <v/>
      </c>
      <c r="L65" s="70" t="str">
        <f>IF($H65="","",VLOOKUP($H65,'Indoor Data'!$B$6:$O$57,3,FALSE))</f>
        <v/>
      </c>
      <c r="M65" s="70" t="str">
        <f>IF($H65="","",VLOOKUP($H65,'Indoor Data'!$B$6:$O$57,4,FALSE))</f>
        <v/>
      </c>
      <c r="N65" s="70" t="str">
        <f>IF($H65="","",VLOOKUP($H65,'Indoor Data'!$B$6:$O$57,5,FALSE))</f>
        <v/>
      </c>
      <c r="O65" s="71" t="str">
        <f>IF($H65="","",VLOOKUP($H65,'Indoor Data'!$B$6:$O$57,6,FALSE))</f>
        <v/>
      </c>
      <c r="P65" s="72" t="str">
        <f>IF($H65="","",VLOOKUP($H65,'Indoor Data'!$B$6:$O$57,7,FALSE))</f>
        <v/>
      </c>
      <c r="Q65" s="70" t="str">
        <f>IF($H65="","",VLOOKUP($H65,'Indoor Data'!$B$6:$O$57,8,FALSE))</f>
        <v/>
      </c>
      <c r="R65" s="70" t="str">
        <f>IF($H65="","",VLOOKUP($H65,'Indoor Data'!$B$6:$O$57,9,FALSE))</f>
        <v/>
      </c>
      <c r="S65" s="70" t="str">
        <f>IF($H65="","",VLOOKUP($H65,'Indoor Data'!$B$6:$O$57,10,FALSE))</f>
        <v/>
      </c>
      <c r="T65" s="70" t="str">
        <f>IF($H65="","",VLOOKUP($H65,'Indoor Data'!$B$6:$O$57,11,FALSE))</f>
        <v/>
      </c>
      <c r="U65" s="70" t="str">
        <f>IF($H65="","",VLOOKUP($H65,'Indoor Data'!$B$6:$O$57,12,FALSE))</f>
        <v/>
      </c>
      <c r="V65" s="74" t="s">
        <v>23</v>
      </c>
      <c r="W65" s="75"/>
      <c r="X65" s="76">
        <f>IF($W65="",0,VLOOKUP($W65,'Outdoor Data'!$B$6:$L$16,11,FALSE))</f>
        <v>0</v>
      </c>
      <c r="Y65" s="75" t="str">
        <f>IF($W65="","",VLOOKUP($W65,'Outdoor Data'!$B$6:$L$16,2,FALSE))</f>
        <v/>
      </c>
      <c r="Z65" s="75" t="str">
        <f>IF($W65="","",VLOOKUP($W65,'Outdoor Data'!$B$6:$L$16,3,FALSE))</f>
        <v/>
      </c>
      <c r="AA65" s="75"/>
      <c r="AB65" s="5" t="str">
        <f>IF($W65="","",VLOOKUP($W65,'Outdoor Data'!$B$6:$L$16,4,FALSE))</f>
        <v/>
      </c>
      <c r="AC65" s="5" t="str">
        <f>IF($W65="","",VLOOKUP($W65,'Outdoor Data'!$B$6:$L$16,5,FALSE))</f>
        <v/>
      </c>
      <c r="AD65" s="5" t="str">
        <f>IF($W65="","",VLOOKUP($W65,'Outdoor Data'!$B$6:$L$16,6,FALSE))</f>
        <v/>
      </c>
      <c r="AE65" s="5" t="str">
        <f>IF($W65="","",VLOOKUP($W65,'Outdoor Data'!$B$6:$L$16,7,FALSE))</f>
        <v/>
      </c>
      <c r="AF65" s="5" t="str">
        <f>IF($W65="","",VLOOKUP($W65,'Outdoor Data'!$B$6:$L$16,8,FALSE))</f>
        <v/>
      </c>
      <c r="AG65" s="5" t="str">
        <f>IF($W65="","",VLOOKUP($W65,'Outdoor Data'!$B$6:$L$16,9,FALSE))</f>
        <v/>
      </c>
      <c r="AH65" s="48" t="str">
        <f>IF($W65="","",VLOOKUP($W65,'Outdoor Data'!$B$6:$L$16,10,FALSE))</f>
        <v/>
      </c>
      <c r="AJ65" s="52" t="s">
        <v>186</v>
      </c>
      <c r="AK65" s="54">
        <f>(I77/AK64)/25</f>
        <v>0</v>
      </c>
      <c r="AL65" s="52" t="s">
        <v>187</v>
      </c>
    </row>
    <row r="66" spans="2:38" hidden="1" x14ac:dyDescent="0.25">
      <c r="B66" s="104"/>
      <c r="C66" s="58"/>
      <c r="D66" s="58"/>
      <c r="E66" s="13"/>
      <c r="F66" s="13"/>
      <c r="G66" s="18"/>
      <c r="H66" s="83"/>
      <c r="I66" s="84" t="str">
        <f>IF($H66="","",VLOOKUP($H66,'Indoor Data'!$B$6:$O$57,13,FALSE))</f>
        <v/>
      </c>
      <c r="J66" s="70" t="str">
        <f>IF($H66="","",VLOOKUP($H66,'Indoor Data'!$B$6:$O$57,14,FALSE))</f>
        <v/>
      </c>
      <c r="K66" s="70" t="str">
        <f>IF($H66="","",VLOOKUP($H66,'Indoor Data'!$B$6:$O$57,2,FALSE))</f>
        <v/>
      </c>
      <c r="L66" s="70" t="str">
        <f>IF($H66="","",VLOOKUP($H66,'Indoor Data'!$B$6:$O$57,3,FALSE))</f>
        <v/>
      </c>
      <c r="M66" s="70" t="str">
        <f>IF($H66="","",VLOOKUP($H66,'Indoor Data'!$B$6:$O$57,4,FALSE))</f>
        <v/>
      </c>
      <c r="N66" s="70" t="str">
        <f>IF($H66="","",VLOOKUP($H66,'Indoor Data'!$B$6:$O$57,5,FALSE))</f>
        <v/>
      </c>
      <c r="O66" s="71" t="str">
        <f>IF($H66="","",VLOOKUP($H66,'Indoor Data'!$B$6:$O$57,6,FALSE))</f>
        <v/>
      </c>
      <c r="P66" s="72" t="str">
        <f>IF($H66="","",VLOOKUP($H66,'Indoor Data'!$B$6:$O$57,7,FALSE))</f>
        <v/>
      </c>
      <c r="Q66" s="70" t="str">
        <f>IF($H66="","",VLOOKUP($H66,'Indoor Data'!$B$6:$O$57,8,FALSE))</f>
        <v/>
      </c>
      <c r="R66" s="70" t="str">
        <f>IF($H66="","",VLOOKUP($H66,'Indoor Data'!$B$6:$O$57,9,FALSE))</f>
        <v/>
      </c>
      <c r="S66" s="70" t="str">
        <f>IF($H66="","",VLOOKUP($H66,'Indoor Data'!$B$6:$O$57,10,FALSE))</f>
        <v/>
      </c>
      <c r="T66" s="70" t="str">
        <f>IF($H66="","",VLOOKUP($H66,'Indoor Data'!$B$6:$O$57,11,FALSE))</f>
        <v/>
      </c>
      <c r="U66" s="70" t="str">
        <f>IF($H66="","",VLOOKUP($H66,'Indoor Data'!$B$6:$O$57,12,FALSE))</f>
        <v/>
      </c>
      <c r="V66" s="74" t="s">
        <v>41</v>
      </c>
      <c r="W66" s="75"/>
      <c r="X66" s="76">
        <f>IF($W66="",0,VLOOKUP($W66,'Outdoor Data'!$B$6:$L$16,11,FALSE))</f>
        <v>0</v>
      </c>
      <c r="Y66" s="75" t="str">
        <f>IF($W66="","",VLOOKUP($W66,'Outdoor Data'!$B$6:$L$16,2,FALSE))</f>
        <v/>
      </c>
      <c r="Z66" s="75" t="str">
        <f>IF($W66="","",VLOOKUP($W66,'Outdoor Data'!$B$6:$L$16,3,FALSE))</f>
        <v/>
      </c>
      <c r="AA66" s="75"/>
      <c r="AB66" s="5" t="str">
        <f>IF($W66="","",VLOOKUP($W66,'Outdoor Data'!$B$6:$L$16,4,FALSE))</f>
        <v/>
      </c>
      <c r="AC66" s="5" t="str">
        <f>IF($W66="","",VLOOKUP($W66,'Outdoor Data'!$B$6:$L$16,5,FALSE))</f>
        <v/>
      </c>
      <c r="AD66" s="5" t="str">
        <f>IF($W66="","",VLOOKUP($W66,'Outdoor Data'!$B$6:$L$16,6,FALSE))</f>
        <v/>
      </c>
      <c r="AE66" s="5" t="str">
        <f>IF($W66="","",VLOOKUP($W66,'Outdoor Data'!$B$6:$L$16,7,FALSE))</f>
        <v/>
      </c>
      <c r="AF66" s="5" t="str">
        <f>IF($W66="","",VLOOKUP($W66,'Outdoor Data'!$B$6:$L$16,8,FALSE))</f>
        <v/>
      </c>
      <c r="AG66" s="5" t="str">
        <f>IF($W66="","",VLOOKUP($W66,'Outdoor Data'!$B$6:$L$16,9,FALSE))</f>
        <v/>
      </c>
      <c r="AH66" s="48" t="str">
        <f>IF($W66="","",VLOOKUP($W66,'Outdoor Data'!$B$6:$L$16,10,FALSE))</f>
        <v/>
      </c>
    </row>
    <row r="67" spans="2:38" hidden="1" x14ac:dyDescent="0.25">
      <c r="B67" s="104"/>
      <c r="C67" s="58"/>
      <c r="D67" s="58"/>
      <c r="E67" s="13"/>
      <c r="F67" s="13"/>
      <c r="G67" s="18"/>
      <c r="H67" s="83"/>
      <c r="I67" s="84" t="str">
        <f>IF($H67="","",VLOOKUP($H67,'Indoor Data'!$B$6:$O$57,13,FALSE))</f>
        <v/>
      </c>
      <c r="J67" s="70" t="str">
        <f>IF($H67="","",VLOOKUP($H67,'Indoor Data'!$B$6:$O$57,14,FALSE))</f>
        <v/>
      </c>
      <c r="K67" s="70" t="str">
        <f>IF($H67="","",VLOOKUP($H67,'Indoor Data'!$B$6:$O$57,2,FALSE))</f>
        <v/>
      </c>
      <c r="L67" s="70" t="str">
        <f>IF($H67="","",VLOOKUP($H67,'Indoor Data'!$B$6:$O$57,3,FALSE))</f>
        <v/>
      </c>
      <c r="M67" s="70" t="str">
        <f>IF($H67="","",VLOOKUP($H67,'Indoor Data'!$B$6:$O$57,4,FALSE))</f>
        <v/>
      </c>
      <c r="N67" s="70" t="str">
        <f>IF($H67="","",VLOOKUP($H67,'Indoor Data'!$B$6:$O$57,5,FALSE))</f>
        <v/>
      </c>
      <c r="O67" s="71" t="str">
        <f>IF($H67="","",VLOOKUP($H67,'Indoor Data'!$B$6:$O$57,6,FALSE))</f>
        <v/>
      </c>
      <c r="P67" s="72" t="str">
        <f>IF($H67="","",VLOOKUP($H67,'Indoor Data'!$B$6:$O$57,7,FALSE))</f>
        <v/>
      </c>
      <c r="Q67" s="70" t="str">
        <f>IF($H67="","",VLOOKUP($H67,'Indoor Data'!$B$6:$O$57,8,FALSE))</f>
        <v/>
      </c>
      <c r="R67" s="70" t="str">
        <f>IF($H67="","",VLOOKUP($H67,'Indoor Data'!$B$6:$O$57,9,FALSE))</f>
        <v/>
      </c>
      <c r="S67" s="70" t="str">
        <f>IF($H67="","",VLOOKUP($H67,'Indoor Data'!$B$6:$O$57,10,FALSE))</f>
        <v/>
      </c>
      <c r="T67" s="70" t="str">
        <f>IF($H67="","",VLOOKUP($H67,'Indoor Data'!$B$6:$O$57,11,FALSE))</f>
        <v/>
      </c>
      <c r="U67" s="70" t="str">
        <f>IF($H67="","",VLOOKUP($H67,'Indoor Data'!$B$6:$O$57,12,FALSE))</f>
        <v/>
      </c>
      <c r="V67" s="74" t="s">
        <v>42</v>
      </c>
      <c r="W67" s="75"/>
      <c r="X67" s="76">
        <f>IF($W67="",0,VLOOKUP($W67,'Outdoor Data'!$B$6:$L$16,11,FALSE))</f>
        <v>0</v>
      </c>
      <c r="Y67" s="75" t="str">
        <f>IF($W67="","",VLOOKUP($W67,'Outdoor Data'!$B$6:$L$16,2,FALSE))</f>
        <v/>
      </c>
      <c r="Z67" s="75" t="str">
        <f>IF($W67="","",VLOOKUP($W67,'Outdoor Data'!$B$6:$L$16,3,FALSE))</f>
        <v/>
      </c>
      <c r="AA67" s="75"/>
      <c r="AB67" s="5" t="str">
        <f>IF($W67="","",VLOOKUP($W67,'Outdoor Data'!$B$6:$L$16,4,FALSE))</f>
        <v/>
      </c>
      <c r="AC67" s="5" t="str">
        <f>IF($W67="","",VLOOKUP($W67,'Outdoor Data'!$B$6:$L$16,5,FALSE))</f>
        <v/>
      </c>
      <c r="AD67" s="5" t="str">
        <f>IF($W67="","",VLOOKUP($W67,'Outdoor Data'!$B$6:$L$16,6,FALSE))</f>
        <v/>
      </c>
      <c r="AE67" s="5" t="str">
        <f>IF($W67="","",VLOOKUP($W67,'Outdoor Data'!$B$6:$L$16,7,FALSE))</f>
        <v/>
      </c>
      <c r="AF67" s="5" t="str">
        <f>IF($W67="","",VLOOKUP($W67,'Outdoor Data'!$B$6:$L$16,8,FALSE))</f>
        <v/>
      </c>
      <c r="AG67" s="5" t="str">
        <f>IF($W67="","",VLOOKUP($W67,'Outdoor Data'!$B$6:$L$16,9,FALSE))</f>
        <v/>
      </c>
      <c r="AH67" s="48" t="str">
        <f>IF($W67="","",VLOOKUP($W67,'Outdoor Data'!$B$6:$L$16,10,FALSE))</f>
        <v/>
      </c>
    </row>
    <row r="68" spans="2:38" hidden="1" x14ac:dyDescent="0.25">
      <c r="B68" s="104"/>
      <c r="C68" s="58"/>
      <c r="D68" s="58"/>
      <c r="E68" s="13"/>
      <c r="F68" s="13"/>
      <c r="G68" s="18"/>
      <c r="H68" s="83"/>
      <c r="I68" s="84" t="str">
        <f>IF($H68="","",VLOOKUP($H68,'Indoor Data'!$B$6:$O$57,13,FALSE))</f>
        <v/>
      </c>
      <c r="J68" s="70" t="str">
        <f>IF($H68="","",VLOOKUP($H68,'Indoor Data'!$B$6:$O$57,14,FALSE))</f>
        <v/>
      </c>
      <c r="K68" s="70" t="str">
        <f>IF($H68="","",VLOOKUP($H68,'Indoor Data'!$B$6:$O$57,2,FALSE))</f>
        <v/>
      </c>
      <c r="L68" s="70" t="str">
        <f>IF($H68="","",VLOOKUP($H68,'Indoor Data'!$B$6:$O$57,3,FALSE))</f>
        <v/>
      </c>
      <c r="M68" s="70" t="str">
        <f>IF($H68="","",VLOOKUP($H68,'Indoor Data'!$B$6:$O$57,4,FALSE))</f>
        <v/>
      </c>
      <c r="N68" s="70" t="str">
        <f>IF($H68="","",VLOOKUP($H68,'Indoor Data'!$B$6:$O$57,5,FALSE))</f>
        <v/>
      </c>
      <c r="O68" s="71" t="str">
        <f>IF($H68="","",VLOOKUP($H68,'Indoor Data'!$B$6:$O$57,6,FALSE))</f>
        <v/>
      </c>
      <c r="P68" s="72" t="str">
        <f>IF($H68="","",VLOOKUP($H68,'Indoor Data'!$B$6:$O$57,7,FALSE))</f>
        <v/>
      </c>
      <c r="Q68" s="70" t="str">
        <f>IF($H68="","",VLOOKUP($H68,'Indoor Data'!$B$6:$O$57,8,FALSE))</f>
        <v/>
      </c>
      <c r="R68" s="70" t="str">
        <f>IF($H68="","",VLOOKUP($H68,'Indoor Data'!$B$6:$O$57,9,FALSE))</f>
        <v/>
      </c>
      <c r="S68" s="70" t="str">
        <f>IF($H68="","",VLOOKUP($H68,'Indoor Data'!$B$6:$O$57,10,FALSE))</f>
        <v/>
      </c>
      <c r="T68" s="70" t="str">
        <f>IF($H68="","",VLOOKUP($H68,'Indoor Data'!$B$6:$O$57,11,FALSE))</f>
        <v/>
      </c>
      <c r="U68" s="70" t="str">
        <f>IF($H68="","",VLOOKUP($H68,'Indoor Data'!$B$6:$O$57,12,FALSE))</f>
        <v/>
      </c>
      <c r="V68" s="74"/>
      <c r="W68" s="75"/>
      <c r="X68" s="76"/>
      <c r="Y68" s="2"/>
      <c r="Z68" s="2"/>
      <c r="AA68" s="2"/>
      <c r="AB68" s="8"/>
      <c r="AC68" s="5"/>
      <c r="AD68" s="24"/>
      <c r="AE68" s="24"/>
      <c r="AF68" s="24"/>
      <c r="AG68" s="8"/>
      <c r="AH68" s="9"/>
    </row>
    <row r="69" spans="2:38" hidden="1" x14ac:dyDescent="0.25">
      <c r="B69" s="104"/>
      <c r="C69" s="58"/>
      <c r="D69" s="58"/>
      <c r="E69" s="13"/>
      <c r="F69" s="13"/>
      <c r="G69" s="18"/>
      <c r="H69" s="83"/>
      <c r="I69" s="84" t="str">
        <f>IF($H69="","",VLOOKUP($H69,'Indoor Data'!$B$6:$O$57,13,FALSE))</f>
        <v/>
      </c>
      <c r="J69" s="70" t="str">
        <f>IF($H69="","",VLOOKUP($H69,'Indoor Data'!$B$6:$O$57,14,FALSE))</f>
        <v/>
      </c>
      <c r="K69" s="70" t="str">
        <f>IF($H69="","",VLOOKUP($H69,'Indoor Data'!$B$6:$O$57,2,FALSE))</f>
        <v/>
      </c>
      <c r="L69" s="70" t="str">
        <f>IF($H69="","",VLOOKUP($H69,'Indoor Data'!$B$6:$O$57,3,FALSE))</f>
        <v/>
      </c>
      <c r="M69" s="70" t="str">
        <f>IF($H69="","",VLOOKUP($H69,'Indoor Data'!$B$6:$O$57,4,FALSE))</f>
        <v/>
      </c>
      <c r="N69" s="70" t="str">
        <f>IF($H69="","",VLOOKUP($H69,'Indoor Data'!$B$6:$O$57,5,FALSE))</f>
        <v/>
      </c>
      <c r="O69" s="71" t="str">
        <f>IF($H69="","",VLOOKUP($H69,'Indoor Data'!$B$6:$O$57,6,FALSE))</f>
        <v/>
      </c>
      <c r="P69" s="72" t="str">
        <f>IF($H69="","",VLOOKUP($H69,'Indoor Data'!$B$6:$O$57,7,FALSE))</f>
        <v/>
      </c>
      <c r="Q69" s="70" t="str">
        <f>IF($H69="","",VLOOKUP($H69,'Indoor Data'!$B$6:$O$57,8,FALSE))</f>
        <v/>
      </c>
      <c r="R69" s="70" t="str">
        <f>IF($H69="","",VLOOKUP($H69,'Indoor Data'!$B$6:$O$57,9,FALSE))</f>
        <v/>
      </c>
      <c r="S69" s="70" t="str">
        <f>IF($H69="","",VLOOKUP($H69,'Indoor Data'!$B$6:$O$57,10,FALSE))</f>
        <v/>
      </c>
      <c r="T69" s="70" t="str">
        <f>IF($H69="","",VLOOKUP($H69,'Indoor Data'!$B$6:$O$57,11,FALSE))</f>
        <v/>
      </c>
      <c r="U69" s="70" t="str">
        <f>IF($H69="","",VLOOKUP($H69,'Indoor Data'!$B$6:$O$57,12,FALSE))</f>
        <v/>
      </c>
      <c r="V69" s="74"/>
      <c r="W69" s="75"/>
      <c r="X69" s="76"/>
      <c r="Y69" s="2"/>
      <c r="Z69" s="2"/>
      <c r="AA69" s="2"/>
      <c r="AB69" s="8"/>
      <c r="AC69" s="5"/>
      <c r="AD69" s="24"/>
      <c r="AE69" s="24"/>
      <c r="AF69" s="24"/>
      <c r="AG69" s="8"/>
      <c r="AH69" s="9"/>
    </row>
    <row r="70" spans="2:38" hidden="1" x14ac:dyDescent="0.25">
      <c r="B70" s="104"/>
      <c r="C70" s="58"/>
      <c r="D70" s="58"/>
      <c r="E70" s="13"/>
      <c r="F70" s="13"/>
      <c r="G70" s="18"/>
      <c r="H70" s="83"/>
      <c r="I70" s="84" t="str">
        <f>IF($H70="","",VLOOKUP($H70,'Indoor Data'!$B$6:$O$57,13,FALSE))</f>
        <v/>
      </c>
      <c r="J70" s="70" t="str">
        <f>IF($H70="","",VLOOKUP($H70,'Indoor Data'!$B$6:$O$57,14,FALSE))</f>
        <v/>
      </c>
      <c r="K70" s="70" t="str">
        <f>IF($H70="","",VLOOKUP($H70,'Indoor Data'!$B$6:$O$57,2,FALSE))</f>
        <v/>
      </c>
      <c r="L70" s="70" t="str">
        <f>IF($H70="","",VLOOKUP($H70,'Indoor Data'!$B$6:$O$57,3,FALSE))</f>
        <v/>
      </c>
      <c r="M70" s="70" t="str">
        <f>IF($H70="","",VLOOKUP($H70,'Indoor Data'!$B$6:$O$57,4,FALSE))</f>
        <v/>
      </c>
      <c r="N70" s="70" t="str">
        <f>IF($H70="","",VLOOKUP($H70,'Indoor Data'!$B$6:$O$57,5,FALSE))</f>
        <v/>
      </c>
      <c r="O70" s="71" t="str">
        <f>IF($H70="","",VLOOKUP($H70,'Indoor Data'!$B$6:$O$57,6,FALSE))</f>
        <v/>
      </c>
      <c r="P70" s="72" t="str">
        <f>IF($H70="","",VLOOKUP($H70,'Indoor Data'!$B$6:$O$57,7,FALSE))</f>
        <v/>
      </c>
      <c r="Q70" s="70" t="str">
        <f>IF($H70="","",VLOOKUP($H70,'Indoor Data'!$B$6:$O$57,8,FALSE))</f>
        <v/>
      </c>
      <c r="R70" s="70" t="str">
        <f>IF($H70="","",VLOOKUP($H70,'Indoor Data'!$B$6:$O$57,9,FALSE))</f>
        <v/>
      </c>
      <c r="S70" s="70" t="str">
        <f>IF($H70="","",VLOOKUP($H70,'Indoor Data'!$B$6:$O$57,10,FALSE))</f>
        <v/>
      </c>
      <c r="T70" s="70" t="str">
        <f>IF($H70="","",VLOOKUP($H70,'Indoor Data'!$B$6:$O$57,11,FALSE))</f>
        <v/>
      </c>
      <c r="U70" s="70" t="str">
        <f>IF($H70="","",VLOOKUP($H70,'Indoor Data'!$B$6:$O$57,12,FALSE))</f>
        <v/>
      </c>
      <c r="V70" s="74"/>
      <c r="W70" s="75"/>
      <c r="X70" s="76"/>
      <c r="Y70" s="2"/>
      <c r="Z70" s="2"/>
      <c r="AA70" s="2"/>
      <c r="AB70" s="8"/>
      <c r="AC70" s="5"/>
      <c r="AD70" s="24"/>
      <c r="AE70" s="24"/>
      <c r="AF70" s="24"/>
      <c r="AG70" s="8"/>
      <c r="AH70" s="9"/>
    </row>
    <row r="71" spans="2:38" hidden="1" x14ac:dyDescent="0.25">
      <c r="B71" s="104"/>
      <c r="C71" s="58"/>
      <c r="D71" s="58"/>
      <c r="E71" s="13"/>
      <c r="F71" s="13"/>
      <c r="G71" s="18"/>
      <c r="H71" s="83"/>
      <c r="I71" s="84" t="str">
        <f>IF($H71="","",VLOOKUP($H71,'Indoor Data'!$B$6:$O$57,13,FALSE))</f>
        <v/>
      </c>
      <c r="J71" s="70" t="str">
        <f>IF($H71="","",VLOOKUP($H71,'Indoor Data'!$B$6:$O$57,14,FALSE))</f>
        <v/>
      </c>
      <c r="K71" s="70" t="str">
        <f>IF($H71="","",VLOOKUP($H71,'Indoor Data'!$B$6:$O$57,2,FALSE))</f>
        <v/>
      </c>
      <c r="L71" s="70" t="str">
        <f>IF($H71="","",VLOOKUP($H71,'Indoor Data'!$B$6:$O$57,3,FALSE))</f>
        <v/>
      </c>
      <c r="M71" s="70" t="str">
        <f>IF($H71="","",VLOOKUP($H71,'Indoor Data'!$B$6:$O$57,4,FALSE))</f>
        <v/>
      </c>
      <c r="N71" s="70" t="str">
        <f>IF($H71="","",VLOOKUP($H71,'Indoor Data'!$B$6:$O$57,5,FALSE))</f>
        <v/>
      </c>
      <c r="O71" s="71" t="str">
        <f>IF($H71="","",VLOOKUP($H71,'Indoor Data'!$B$6:$O$57,6,FALSE))</f>
        <v/>
      </c>
      <c r="P71" s="72" t="str">
        <f>IF($H71="","",VLOOKUP($H71,'Indoor Data'!$B$6:$O$57,7,FALSE))</f>
        <v/>
      </c>
      <c r="Q71" s="70" t="str">
        <f>IF($H71="","",VLOOKUP($H71,'Indoor Data'!$B$6:$O$57,8,FALSE))</f>
        <v/>
      </c>
      <c r="R71" s="70" t="str">
        <f>IF($H71="","",VLOOKUP($H71,'Indoor Data'!$B$6:$O$57,9,FALSE))</f>
        <v/>
      </c>
      <c r="S71" s="70" t="str">
        <f>IF($H71="","",VLOOKUP($H71,'Indoor Data'!$B$6:$O$57,10,FALSE))</f>
        <v/>
      </c>
      <c r="T71" s="70" t="str">
        <f>IF($H71="","",VLOOKUP($H71,'Indoor Data'!$B$6:$O$57,11,FALSE))</f>
        <v/>
      </c>
      <c r="U71" s="70" t="str">
        <f>IF($H71="","",VLOOKUP($H71,'Indoor Data'!$B$6:$O$57,12,FALSE))</f>
        <v/>
      </c>
      <c r="V71" s="74"/>
      <c r="W71" s="75"/>
      <c r="X71" s="76"/>
      <c r="Y71" s="2"/>
      <c r="Z71" s="2"/>
      <c r="AA71" s="2"/>
      <c r="AB71" s="8"/>
      <c r="AC71" s="5"/>
      <c r="AD71" s="24"/>
      <c r="AE71" s="24"/>
      <c r="AF71" s="24"/>
      <c r="AG71" s="8"/>
      <c r="AH71" s="9"/>
    </row>
    <row r="72" spans="2:38" hidden="1" x14ac:dyDescent="0.25">
      <c r="B72" s="104"/>
      <c r="C72" s="58"/>
      <c r="D72" s="58"/>
      <c r="E72" s="13"/>
      <c r="F72" s="13"/>
      <c r="G72" s="18"/>
      <c r="H72" s="83"/>
      <c r="I72" s="84" t="str">
        <f>IF($H72="","",VLOOKUP($H72,'Indoor Data'!$B$6:$O$57,13,FALSE))</f>
        <v/>
      </c>
      <c r="J72" s="70" t="str">
        <f>IF($H72="","",VLOOKUP($H72,'Indoor Data'!$B$6:$O$57,14,FALSE))</f>
        <v/>
      </c>
      <c r="K72" s="70" t="str">
        <f>IF($H72="","",VLOOKUP($H72,'Indoor Data'!$B$6:$O$57,2,FALSE))</f>
        <v/>
      </c>
      <c r="L72" s="70" t="str">
        <f>IF($H72="","",VLOOKUP($H72,'Indoor Data'!$B$6:$O$57,3,FALSE))</f>
        <v/>
      </c>
      <c r="M72" s="70" t="str">
        <f>IF($H72="","",VLOOKUP($H72,'Indoor Data'!$B$6:$O$57,4,FALSE))</f>
        <v/>
      </c>
      <c r="N72" s="70" t="str">
        <f>IF($H72="","",VLOOKUP($H72,'Indoor Data'!$B$6:$O$57,5,FALSE))</f>
        <v/>
      </c>
      <c r="O72" s="71" t="str">
        <f>IF($H72="","",VLOOKUP($H72,'Indoor Data'!$B$6:$O$57,6,FALSE))</f>
        <v/>
      </c>
      <c r="P72" s="72" t="str">
        <f>IF($H72="","",VLOOKUP($H72,'Indoor Data'!$B$6:$O$57,7,FALSE))</f>
        <v/>
      </c>
      <c r="Q72" s="70" t="str">
        <f>IF($H72="","",VLOOKUP($H72,'Indoor Data'!$B$6:$O$57,8,FALSE))</f>
        <v/>
      </c>
      <c r="R72" s="70" t="str">
        <f>IF($H72="","",VLOOKUP($H72,'Indoor Data'!$B$6:$O$57,9,FALSE))</f>
        <v/>
      </c>
      <c r="S72" s="70" t="str">
        <f>IF($H72="","",VLOOKUP($H72,'Indoor Data'!$B$6:$O$57,10,FALSE))</f>
        <v/>
      </c>
      <c r="T72" s="70" t="str">
        <f>IF($H72="","",VLOOKUP($H72,'Indoor Data'!$B$6:$O$57,11,FALSE))</f>
        <v/>
      </c>
      <c r="U72" s="70" t="str">
        <f>IF($H72="","",VLOOKUP($H72,'Indoor Data'!$B$6:$O$57,12,FALSE))</f>
        <v/>
      </c>
      <c r="V72" s="74"/>
      <c r="W72" s="75"/>
      <c r="X72" s="76"/>
      <c r="Y72" s="2"/>
      <c r="Z72" s="2"/>
      <c r="AA72" s="2"/>
      <c r="AB72" s="8"/>
      <c r="AC72" s="5"/>
      <c r="AD72" s="24"/>
      <c r="AE72" s="24"/>
      <c r="AF72" s="24"/>
      <c r="AG72" s="8"/>
      <c r="AH72" s="9"/>
    </row>
    <row r="73" spans="2:38" hidden="1" x14ac:dyDescent="0.25">
      <c r="B73" s="104"/>
      <c r="C73" s="58"/>
      <c r="D73" s="58"/>
      <c r="E73" s="13"/>
      <c r="F73" s="13"/>
      <c r="G73" s="18"/>
      <c r="H73" s="83"/>
      <c r="I73" s="84" t="str">
        <f>IF($H73="","",VLOOKUP($H73,'Indoor Data'!$B$6:$O$57,13,FALSE))</f>
        <v/>
      </c>
      <c r="J73" s="70" t="str">
        <f>IF($H73="","",VLOOKUP($H73,'Indoor Data'!$B$6:$O$57,14,FALSE))</f>
        <v/>
      </c>
      <c r="K73" s="70" t="str">
        <f>IF($H73="","",VLOOKUP($H73,'Indoor Data'!$B$6:$O$57,2,FALSE))</f>
        <v/>
      </c>
      <c r="L73" s="70" t="str">
        <f>IF($H73="","",VLOOKUP($H73,'Indoor Data'!$B$6:$O$57,3,FALSE))</f>
        <v/>
      </c>
      <c r="M73" s="70" t="str">
        <f>IF($H73="","",VLOOKUP($H73,'Indoor Data'!$B$6:$O$57,4,FALSE))</f>
        <v/>
      </c>
      <c r="N73" s="70" t="str">
        <f>IF($H73="","",VLOOKUP($H73,'Indoor Data'!$B$6:$O$57,5,FALSE))</f>
        <v/>
      </c>
      <c r="O73" s="71" t="str">
        <f>IF($H73="","",VLOOKUP($H73,'Indoor Data'!$B$6:$O$57,6,FALSE))</f>
        <v/>
      </c>
      <c r="P73" s="72" t="str">
        <f>IF($H73="","",VLOOKUP($H73,'Indoor Data'!$B$6:$O$57,7,FALSE))</f>
        <v/>
      </c>
      <c r="Q73" s="70" t="str">
        <f>IF($H73="","",VLOOKUP($H73,'Indoor Data'!$B$6:$O$57,8,FALSE))</f>
        <v/>
      </c>
      <c r="R73" s="70" t="str">
        <f>IF($H73="","",VLOOKUP($H73,'Indoor Data'!$B$6:$O$57,9,FALSE))</f>
        <v/>
      </c>
      <c r="S73" s="70" t="str">
        <f>IF($H73="","",VLOOKUP($H73,'Indoor Data'!$B$6:$O$57,10,FALSE))</f>
        <v/>
      </c>
      <c r="T73" s="70" t="str">
        <f>IF($H73="","",VLOOKUP($H73,'Indoor Data'!$B$6:$O$57,11,FALSE))</f>
        <v/>
      </c>
      <c r="U73" s="70" t="str">
        <f>IF($H73="","",VLOOKUP($H73,'Indoor Data'!$B$6:$O$57,12,FALSE))</f>
        <v/>
      </c>
      <c r="V73" s="74"/>
      <c r="W73" s="75"/>
      <c r="X73" s="76"/>
      <c r="Y73" s="2"/>
      <c r="Z73" s="2"/>
      <c r="AA73" s="2"/>
      <c r="AB73" s="8"/>
      <c r="AC73" s="5"/>
      <c r="AD73" s="24"/>
      <c r="AE73" s="24"/>
      <c r="AF73" s="24"/>
      <c r="AG73" s="8"/>
      <c r="AH73" s="9"/>
    </row>
    <row r="74" spans="2:38" hidden="1" x14ac:dyDescent="0.25">
      <c r="B74" s="104"/>
      <c r="C74" s="58"/>
      <c r="D74" s="58"/>
      <c r="E74" s="13"/>
      <c r="F74" s="13"/>
      <c r="G74" s="18"/>
      <c r="H74" s="83"/>
      <c r="I74" s="84" t="str">
        <f>IF($H74="","",VLOOKUP($H74,'Indoor Data'!$B$6:$O$57,13,FALSE))</f>
        <v/>
      </c>
      <c r="J74" s="70" t="str">
        <f>IF($H74="","",VLOOKUP($H74,'Indoor Data'!$B$6:$O$57,14,FALSE))</f>
        <v/>
      </c>
      <c r="K74" s="70" t="str">
        <f>IF($H74="","",VLOOKUP($H74,'Indoor Data'!$B$6:$O$57,2,FALSE))</f>
        <v/>
      </c>
      <c r="L74" s="70" t="str">
        <f>IF($H74="","",VLOOKUP($H74,'Indoor Data'!$B$6:$O$57,3,FALSE))</f>
        <v/>
      </c>
      <c r="M74" s="70" t="str">
        <f>IF($H74="","",VLOOKUP($H74,'Indoor Data'!$B$6:$O$57,4,FALSE))</f>
        <v/>
      </c>
      <c r="N74" s="70" t="str">
        <f>IF($H74="","",VLOOKUP($H74,'Indoor Data'!$B$6:$O$57,5,FALSE))</f>
        <v/>
      </c>
      <c r="O74" s="71" t="str">
        <f>IF($H74="","",VLOOKUP($H74,'Indoor Data'!$B$6:$O$57,6,FALSE))</f>
        <v/>
      </c>
      <c r="P74" s="72" t="str">
        <f>IF($H74="","",VLOOKUP($H74,'Indoor Data'!$B$6:$O$57,7,FALSE))</f>
        <v/>
      </c>
      <c r="Q74" s="70" t="str">
        <f>IF($H74="","",VLOOKUP($H74,'Indoor Data'!$B$6:$O$57,8,FALSE))</f>
        <v/>
      </c>
      <c r="R74" s="70" t="str">
        <f>IF($H74="","",VLOOKUP($H74,'Indoor Data'!$B$6:$O$57,9,FALSE))</f>
        <v/>
      </c>
      <c r="S74" s="70" t="str">
        <f>IF($H74="","",VLOOKUP($H74,'Indoor Data'!$B$6:$O$57,10,FALSE))</f>
        <v/>
      </c>
      <c r="T74" s="70" t="str">
        <f>IF($H74="","",VLOOKUP($H74,'Indoor Data'!$B$6:$O$57,11,FALSE))</f>
        <v/>
      </c>
      <c r="U74" s="70" t="str">
        <f>IF($H74="","",VLOOKUP($H74,'Indoor Data'!$B$6:$O$57,12,FALSE))</f>
        <v/>
      </c>
      <c r="V74" s="74"/>
      <c r="W74" s="75"/>
      <c r="X74" s="76"/>
      <c r="Y74" s="2"/>
      <c r="Z74" s="2"/>
      <c r="AA74" s="2"/>
      <c r="AB74" s="8"/>
      <c r="AC74" s="5"/>
      <c r="AD74" s="24"/>
      <c r="AE74" s="24"/>
      <c r="AF74" s="24"/>
      <c r="AG74" s="8"/>
      <c r="AH74" s="9"/>
    </row>
    <row r="75" spans="2:38" hidden="1" x14ac:dyDescent="0.25">
      <c r="B75" s="104"/>
      <c r="C75" s="58"/>
      <c r="D75" s="58"/>
      <c r="E75" s="13"/>
      <c r="F75" s="13"/>
      <c r="G75" s="18"/>
      <c r="H75" s="83"/>
      <c r="I75" s="84" t="str">
        <f>IF($H75="","",VLOOKUP($H75,'Indoor Data'!$B$6:$O$57,13,FALSE))</f>
        <v/>
      </c>
      <c r="J75" s="70" t="str">
        <f>IF($H75="","",VLOOKUP($H75,'Indoor Data'!$B$6:$O$57,14,FALSE))</f>
        <v/>
      </c>
      <c r="K75" s="70" t="str">
        <f>IF($H75="","",VLOOKUP($H75,'Indoor Data'!$B$6:$O$57,2,FALSE))</f>
        <v/>
      </c>
      <c r="L75" s="70" t="str">
        <f>IF($H75="","",VLOOKUP($H75,'Indoor Data'!$B$6:$O$57,3,FALSE))</f>
        <v/>
      </c>
      <c r="M75" s="70" t="str">
        <f>IF($H75="","",VLOOKUP($H75,'Indoor Data'!$B$6:$O$57,4,FALSE))</f>
        <v/>
      </c>
      <c r="N75" s="70" t="str">
        <f>IF($H75="","",VLOOKUP($H75,'Indoor Data'!$B$6:$O$57,5,FALSE))</f>
        <v/>
      </c>
      <c r="O75" s="71" t="str">
        <f>IF($H75="","",VLOOKUP($H75,'Indoor Data'!$B$6:$O$57,6,FALSE))</f>
        <v/>
      </c>
      <c r="P75" s="72" t="str">
        <f>IF($H75="","",VLOOKUP($H75,'Indoor Data'!$B$6:$O$57,7,FALSE))</f>
        <v/>
      </c>
      <c r="Q75" s="70" t="str">
        <f>IF($H75="","",VLOOKUP($H75,'Indoor Data'!$B$6:$O$57,8,FALSE))</f>
        <v/>
      </c>
      <c r="R75" s="70" t="str">
        <f>IF($H75="","",VLOOKUP($H75,'Indoor Data'!$B$6:$O$57,9,FALSE))</f>
        <v/>
      </c>
      <c r="S75" s="70" t="str">
        <f>IF($H75="","",VLOOKUP($H75,'Indoor Data'!$B$6:$O$57,10,FALSE))</f>
        <v/>
      </c>
      <c r="T75" s="70" t="str">
        <f>IF($H75="","",VLOOKUP($H75,'Indoor Data'!$B$6:$O$57,11,FALSE))</f>
        <v/>
      </c>
      <c r="U75" s="70" t="str">
        <f>IF($H75="","",VLOOKUP($H75,'Indoor Data'!$B$6:$O$57,12,FALSE))</f>
        <v/>
      </c>
      <c r="V75" s="74"/>
      <c r="W75" s="75"/>
      <c r="X75" s="76"/>
      <c r="Y75" s="2"/>
      <c r="Z75" s="2"/>
      <c r="AA75" s="2"/>
      <c r="AB75" s="8"/>
      <c r="AC75" s="5"/>
      <c r="AD75" s="24"/>
      <c r="AE75" s="24"/>
      <c r="AF75" s="24"/>
      <c r="AG75" s="8"/>
      <c r="AH75" s="9"/>
    </row>
    <row r="76" spans="2:38" hidden="1" x14ac:dyDescent="0.25">
      <c r="B76" s="105"/>
      <c r="C76" s="58"/>
      <c r="D76" s="58"/>
      <c r="E76" s="13"/>
      <c r="F76" s="13"/>
      <c r="G76" s="18"/>
      <c r="H76" s="83"/>
      <c r="I76" s="84" t="str">
        <f>IF($H76="","",VLOOKUP($H76,'Indoor Data'!$B$6:$O$57,13,FALSE))</f>
        <v/>
      </c>
      <c r="J76" s="70" t="str">
        <f>IF($H76="","",VLOOKUP($H76,'Indoor Data'!$B$6:$O$57,14,FALSE))</f>
        <v/>
      </c>
      <c r="K76" s="70" t="str">
        <f>IF($H76="","",VLOOKUP($H76,'Indoor Data'!$B$6:$O$57,2,FALSE))</f>
        <v/>
      </c>
      <c r="L76" s="70" t="str">
        <f>IF($H76="","",VLOOKUP($H76,'Indoor Data'!$B$6:$O$57,3,FALSE))</f>
        <v/>
      </c>
      <c r="M76" s="70" t="str">
        <f>IF($H76="","",VLOOKUP($H76,'Indoor Data'!$B$6:$O$57,4,FALSE))</f>
        <v/>
      </c>
      <c r="N76" s="70" t="str">
        <f>IF($H76="","",VLOOKUP($H76,'Indoor Data'!$B$6:$O$57,5,FALSE))</f>
        <v/>
      </c>
      <c r="O76" s="71" t="str">
        <f>IF($H76="","",VLOOKUP($H76,'Indoor Data'!$B$6:$O$57,6,FALSE))</f>
        <v/>
      </c>
      <c r="P76" s="72" t="str">
        <f>IF($H76="","",VLOOKUP($H76,'Indoor Data'!$B$6:$O$57,7,FALSE))</f>
        <v/>
      </c>
      <c r="Q76" s="70" t="str">
        <f>IF($H76="","",VLOOKUP($H76,'Indoor Data'!$B$6:$O$57,8,FALSE))</f>
        <v/>
      </c>
      <c r="R76" s="70" t="str">
        <f>IF($H76="","",VLOOKUP($H76,'Indoor Data'!$B$6:$O$57,9,FALSE))</f>
        <v/>
      </c>
      <c r="S76" s="70" t="str">
        <f>IF($H76="","",VLOOKUP($H76,'Indoor Data'!$B$6:$O$57,10,FALSE))</f>
        <v/>
      </c>
      <c r="T76" s="70" t="str">
        <f>IF($H76="","",VLOOKUP($H76,'Indoor Data'!$B$6:$O$57,11,FALSE))</f>
        <v/>
      </c>
      <c r="U76" s="70" t="str">
        <f>IF($H76="","",VLOOKUP($H76,'Indoor Data'!$B$6:$O$57,12,FALSE))</f>
        <v/>
      </c>
      <c r="V76" s="79"/>
      <c r="W76" s="78"/>
      <c r="X76" s="80"/>
      <c r="Y76" s="78"/>
      <c r="Z76" s="78"/>
      <c r="AA76" s="78"/>
      <c r="AB76" s="7"/>
      <c r="AC76" s="8"/>
      <c r="AD76" s="3"/>
      <c r="AE76" s="3"/>
      <c r="AF76" s="3"/>
      <c r="AG76" s="5"/>
      <c r="AH76" s="4"/>
    </row>
    <row r="77" spans="2:38" ht="15" hidden="1" thickBot="1" x14ac:dyDescent="0.3">
      <c r="B77" s="31"/>
      <c r="C77" s="32"/>
      <c r="D77" s="32"/>
      <c r="E77" s="33">
        <f>SUM(E62:E76)</f>
        <v>0</v>
      </c>
      <c r="F77" s="33">
        <f>SUM(F62:F76)</f>
        <v>0</v>
      </c>
      <c r="G77" s="34">
        <f>SUM(G62:G76)</f>
        <v>0</v>
      </c>
      <c r="H77" s="35"/>
      <c r="I77" s="51">
        <f>SUM(I62:I76)</f>
        <v>0</v>
      </c>
      <c r="J77" s="36"/>
      <c r="K77" s="36"/>
      <c r="L77" s="36"/>
      <c r="M77" s="37">
        <f>SUM(M62:M76)</f>
        <v>0</v>
      </c>
      <c r="N77" s="37">
        <f>SUM(N62:N76)</f>
        <v>0</v>
      </c>
      <c r="O77" s="38">
        <f>SUM(O62:O76)</f>
        <v>0</v>
      </c>
      <c r="P77" s="39">
        <f>SUM(P62:P76)</f>
        <v>0</v>
      </c>
      <c r="Q77" s="36"/>
      <c r="R77" s="36"/>
      <c r="S77" s="40"/>
      <c r="T77" s="36"/>
      <c r="U77" s="41"/>
      <c r="V77" s="42"/>
      <c r="W77" s="43"/>
      <c r="X77" s="50">
        <f>X67+X66+X65+X63</f>
        <v>0</v>
      </c>
      <c r="Y77" s="43"/>
      <c r="Z77" s="43"/>
      <c r="AA77" s="43"/>
      <c r="AB77" s="44">
        <f>SUM(AB62:AB76)</f>
        <v>0</v>
      </c>
      <c r="AC77" s="43"/>
      <c r="AD77" s="43"/>
      <c r="AE77" s="43"/>
      <c r="AF77" s="43"/>
      <c r="AG77" s="43"/>
      <c r="AH77" s="45"/>
    </row>
  </sheetData>
  <mergeCells count="42">
    <mergeCell ref="B45:B59"/>
    <mergeCell ref="B61:AH61"/>
    <mergeCell ref="B62:B76"/>
    <mergeCell ref="B27:AH27"/>
    <mergeCell ref="B28:B42"/>
    <mergeCell ref="B44:AH44"/>
    <mergeCell ref="B7:G7"/>
    <mergeCell ref="D8:D10"/>
    <mergeCell ref="C8:C10"/>
    <mergeCell ref="B8:B10"/>
    <mergeCell ref="AD9:AD10"/>
    <mergeCell ref="O9:O10"/>
    <mergeCell ref="P9:P10"/>
    <mergeCell ref="AE9:AE10"/>
    <mergeCell ref="B11:B25"/>
    <mergeCell ref="K8:K10"/>
    <mergeCell ref="J8:J10"/>
    <mergeCell ref="Q9:Q10"/>
    <mergeCell ref="S9:S10"/>
    <mergeCell ref="T9:T10"/>
    <mergeCell ref="U9:U10"/>
    <mergeCell ref="E9:E10"/>
    <mergeCell ref="F9:F10"/>
    <mergeCell ref="G9:G10"/>
    <mergeCell ref="M9:M10"/>
    <mergeCell ref="N9:N10"/>
    <mergeCell ref="AG9:AG10"/>
    <mergeCell ref="X8:X10"/>
    <mergeCell ref="B6:AH6"/>
    <mergeCell ref="H7:U7"/>
    <mergeCell ref="V7:AH7"/>
    <mergeCell ref="H8:H10"/>
    <mergeCell ref="I8:I10"/>
    <mergeCell ref="R8:R10"/>
    <mergeCell ref="V8:V10"/>
    <mergeCell ref="W8:W10"/>
    <mergeCell ref="AA8:AA10"/>
    <mergeCell ref="Y8:Z8"/>
    <mergeCell ref="AB8:AB9"/>
    <mergeCell ref="AC8:AC10"/>
    <mergeCell ref="AF9:AF10"/>
    <mergeCell ref="AH9:AH10"/>
  </mergeCells>
  <phoneticPr fontId="5" type="noConversion"/>
  <pageMargins left="0.25" right="0.25" top="0.75" bottom="0.75" header="0.3" footer="0.3"/>
  <pageSetup scale="37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5CF16F-1A60-4248-922A-67C1B3D6C067}">
          <x14:formula1>
            <xm:f>'Indoor Data'!$B$6:$B$57</xm:f>
          </x14:formula1>
          <xm:sqref>H11:H25 H28:H42 H45:H59 H62:H76</xm:sqref>
        </x14:dataValidation>
        <x14:dataValidation type="list" allowBlank="1" showInputMessage="1" showErrorMessage="1" xr:uid="{30C670D6-9CB0-42C5-AF79-7ED0693B5977}">
          <x14:formula1>
            <xm:f>'Outdoor Data'!$B$6:$B$16</xm:f>
          </x14:formula1>
          <xm:sqref>W12 W31:W33 W29 W65:W67 W46 W14:W16 W63 W48:W50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FC69-804E-4971-A519-D941790BE517}">
  <dimension ref="B2:O57"/>
  <sheetViews>
    <sheetView workbookViewId="0">
      <selection activeCell="A11" sqref="A11"/>
    </sheetView>
  </sheetViews>
  <sheetFormatPr defaultRowHeight="13.2" x14ac:dyDescent="0.25"/>
  <cols>
    <col min="2" max="2" width="17.33203125" customWidth="1"/>
    <col min="3" max="3" width="12.6640625" customWidth="1"/>
    <col min="4" max="4" width="15" customWidth="1"/>
    <col min="5" max="5" width="13.109375" customWidth="1"/>
    <col min="6" max="6" width="12.6640625" customWidth="1"/>
    <col min="7" max="7" width="17.77734375" customWidth="1"/>
    <col min="8" max="9" width="16.33203125" customWidth="1"/>
    <col min="10" max="10" width="16.6640625" customWidth="1"/>
    <col min="11" max="11" width="11.109375" customWidth="1"/>
    <col min="12" max="12" width="22.77734375" customWidth="1"/>
    <col min="13" max="13" width="14.77734375" customWidth="1"/>
    <col min="14" max="14" width="12" customWidth="1"/>
    <col min="15" max="15" width="16.33203125" customWidth="1"/>
  </cols>
  <sheetData>
    <row r="2" spans="2:15" x14ac:dyDescent="0.25">
      <c r="B2" s="30">
        <v>1</v>
      </c>
      <c r="C2" s="30">
        <v>2</v>
      </c>
      <c r="D2" s="30">
        <v>3</v>
      </c>
      <c r="E2" s="30">
        <v>4</v>
      </c>
      <c r="F2" s="30">
        <v>5</v>
      </c>
      <c r="G2" s="30">
        <v>6</v>
      </c>
      <c r="H2" s="30">
        <v>7</v>
      </c>
      <c r="I2" s="30">
        <v>8</v>
      </c>
      <c r="J2" s="30">
        <v>9</v>
      </c>
      <c r="K2" s="30">
        <v>10</v>
      </c>
      <c r="L2" s="30">
        <v>11</v>
      </c>
      <c r="M2" s="30">
        <v>12</v>
      </c>
      <c r="N2" s="30">
        <v>13</v>
      </c>
      <c r="O2" s="30">
        <v>14</v>
      </c>
    </row>
    <row r="3" spans="2:15" ht="43.2" x14ac:dyDescent="0.25">
      <c r="B3" s="122" t="s">
        <v>2</v>
      </c>
      <c r="C3" s="122" t="s">
        <v>5</v>
      </c>
      <c r="D3" s="26" t="s">
        <v>54</v>
      </c>
      <c r="E3" s="26" t="s">
        <v>6</v>
      </c>
      <c r="F3" s="26" t="s">
        <v>7</v>
      </c>
      <c r="G3" s="27" t="s">
        <v>48</v>
      </c>
      <c r="H3" s="26" t="s">
        <v>8</v>
      </c>
      <c r="I3" s="26" t="s">
        <v>9</v>
      </c>
      <c r="J3" s="122" t="s">
        <v>10</v>
      </c>
      <c r="K3" s="26" t="s">
        <v>11</v>
      </c>
      <c r="L3" s="26" t="s">
        <v>12</v>
      </c>
      <c r="M3" s="26" t="s">
        <v>13</v>
      </c>
      <c r="N3" s="123" t="s">
        <v>57</v>
      </c>
      <c r="O3" s="123" t="s">
        <v>68</v>
      </c>
    </row>
    <row r="4" spans="2:15" ht="14.4" x14ac:dyDescent="0.25">
      <c r="B4" s="122"/>
      <c r="C4" s="122"/>
      <c r="D4" s="26" t="s">
        <v>21</v>
      </c>
      <c r="E4" s="122" t="s">
        <v>19</v>
      </c>
      <c r="F4" s="122" t="s">
        <v>19</v>
      </c>
      <c r="G4" s="122" t="s">
        <v>20</v>
      </c>
      <c r="H4" s="122" t="s">
        <v>19</v>
      </c>
      <c r="I4" s="122" t="s">
        <v>22</v>
      </c>
      <c r="J4" s="122"/>
      <c r="K4" s="122" t="s">
        <v>23</v>
      </c>
      <c r="L4" s="122" t="s">
        <v>24</v>
      </c>
      <c r="M4" s="122" t="s">
        <v>25</v>
      </c>
      <c r="N4" s="124"/>
      <c r="O4" s="124"/>
    </row>
    <row r="5" spans="2:15" ht="14.4" x14ac:dyDescent="0.25">
      <c r="B5" s="122"/>
      <c r="C5" s="122"/>
      <c r="D5" s="26" t="s">
        <v>27</v>
      </c>
      <c r="E5" s="122"/>
      <c r="F5" s="122"/>
      <c r="G5" s="122"/>
      <c r="H5" s="122"/>
      <c r="I5" s="122"/>
      <c r="J5" s="122"/>
      <c r="K5" s="122"/>
      <c r="L5" s="122"/>
      <c r="M5" s="122"/>
      <c r="N5" s="125"/>
      <c r="O5" s="125"/>
    </row>
    <row r="6" spans="2:15" ht="14.4" x14ac:dyDescent="0.25">
      <c r="B6" s="15" t="s">
        <v>58</v>
      </c>
      <c r="C6" s="15" t="s">
        <v>30</v>
      </c>
      <c r="D6" s="15" t="s">
        <v>70</v>
      </c>
      <c r="E6" s="13">
        <v>1.5</v>
      </c>
      <c r="F6" s="13">
        <v>1.1000000000000001</v>
      </c>
      <c r="G6" s="14">
        <v>145</v>
      </c>
      <c r="H6" s="28">
        <v>4.1000000000000002E-2</v>
      </c>
      <c r="I6" s="15" t="s">
        <v>64</v>
      </c>
      <c r="J6" s="15" t="s">
        <v>32</v>
      </c>
      <c r="K6" s="13">
        <v>0.8</v>
      </c>
      <c r="L6" s="15" t="s">
        <v>66</v>
      </c>
      <c r="M6" s="14">
        <v>23.5</v>
      </c>
      <c r="N6" s="14">
        <v>15</v>
      </c>
      <c r="O6" s="14" t="s">
        <v>69</v>
      </c>
    </row>
    <row r="7" spans="2:15" ht="14.4" x14ac:dyDescent="0.25">
      <c r="B7" s="15" t="s">
        <v>59</v>
      </c>
      <c r="C7" s="15" t="s">
        <v>30</v>
      </c>
      <c r="D7" s="15" t="s">
        <v>70</v>
      </c>
      <c r="E7" s="13">
        <v>2</v>
      </c>
      <c r="F7" s="13">
        <v>1.5</v>
      </c>
      <c r="G7" s="14">
        <v>150</v>
      </c>
      <c r="H7" s="29">
        <v>4.1000000000000002E-2</v>
      </c>
      <c r="I7" s="15" t="s">
        <v>64</v>
      </c>
      <c r="J7" s="15" t="s">
        <v>32</v>
      </c>
      <c r="K7" s="13">
        <v>0.8</v>
      </c>
      <c r="L7" s="15" t="s">
        <v>66</v>
      </c>
      <c r="M7" s="14">
        <v>23.5</v>
      </c>
      <c r="N7" s="14">
        <v>20</v>
      </c>
      <c r="O7" s="14" t="s">
        <v>69</v>
      </c>
    </row>
    <row r="8" spans="2:15" ht="14.4" x14ac:dyDescent="0.25">
      <c r="B8" s="15" t="s">
        <v>60</v>
      </c>
      <c r="C8" s="15" t="s">
        <v>30</v>
      </c>
      <c r="D8" s="15" t="s">
        <v>70</v>
      </c>
      <c r="E8" s="13">
        <v>2.5</v>
      </c>
      <c r="F8" s="13">
        <v>1.9</v>
      </c>
      <c r="G8" s="14">
        <v>150</v>
      </c>
      <c r="H8" s="28">
        <v>4.1000000000000002E-2</v>
      </c>
      <c r="I8" s="15" t="s">
        <v>64</v>
      </c>
      <c r="J8" s="15" t="s">
        <v>32</v>
      </c>
      <c r="K8" s="13">
        <v>0.8</v>
      </c>
      <c r="L8" s="15" t="s">
        <v>66</v>
      </c>
      <c r="M8" s="14">
        <v>23.5</v>
      </c>
      <c r="N8" s="14">
        <v>25</v>
      </c>
      <c r="O8" s="14" t="s">
        <v>69</v>
      </c>
    </row>
    <row r="9" spans="2:15" ht="14.4" x14ac:dyDescent="0.25">
      <c r="B9" s="15" t="s">
        <v>61</v>
      </c>
      <c r="C9" s="15" t="s">
        <v>30</v>
      </c>
      <c r="D9" s="15" t="s">
        <v>70</v>
      </c>
      <c r="E9" s="13">
        <v>3.2</v>
      </c>
      <c r="F9" s="13">
        <v>2.4</v>
      </c>
      <c r="G9" s="14">
        <v>158.33000000000001</v>
      </c>
      <c r="H9" s="28">
        <v>4.4999999999999998E-2</v>
      </c>
      <c r="I9" s="15" t="s">
        <v>65</v>
      </c>
      <c r="J9" s="15" t="s">
        <v>32</v>
      </c>
      <c r="K9" s="13">
        <v>0.8</v>
      </c>
      <c r="L9" s="15" t="s">
        <v>66</v>
      </c>
      <c r="M9" s="14">
        <v>24</v>
      </c>
      <c r="N9" s="14">
        <v>32</v>
      </c>
      <c r="O9" s="14" t="s">
        <v>69</v>
      </c>
    </row>
    <row r="10" spans="2:15" ht="14.4" x14ac:dyDescent="0.25">
      <c r="B10" s="15" t="s">
        <v>62</v>
      </c>
      <c r="C10" s="15" t="s">
        <v>30</v>
      </c>
      <c r="D10" s="15" t="s">
        <v>70</v>
      </c>
      <c r="E10" s="13">
        <v>4</v>
      </c>
      <c r="F10" s="13">
        <v>3.1</v>
      </c>
      <c r="G10" s="14">
        <v>250</v>
      </c>
      <c r="H10" s="28">
        <v>8.6999999999999994E-2</v>
      </c>
      <c r="I10" s="15" t="s">
        <v>47</v>
      </c>
      <c r="J10" s="15" t="s">
        <v>32</v>
      </c>
      <c r="K10" s="13">
        <v>1.1000000000000001</v>
      </c>
      <c r="L10" s="15" t="s">
        <v>67</v>
      </c>
      <c r="M10" s="14">
        <v>28.5</v>
      </c>
      <c r="N10" s="14">
        <v>40</v>
      </c>
      <c r="O10" s="14" t="s">
        <v>69</v>
      </c>
    </row>
    <row r="11" spans="2:15" ht="14.4" x14ac:dyDescent="0.25">
      <c r="B11" s="15" t="s">
        <v>63</v>
      </c>
      <c r="C11" s="15" t="s">
        <v>30</v>
      </c>
      <c r="D11" s="15" t="s">
        <v>70</v>
      </c>
      <c r="E11" s="13">
        <v>4.9000000000000004</v>
      </c>
      <c r="F11" s="13">
        <v>3.7</v>
      </c>
      <c r="G11" s="14">
        <v>253.33</v>
      </c>
      <c r="H11" s="28">
        <v>8.8999999999999996E-2</v>
      </c>
      <c r="I11" s="15" t="s">
        <v>47</v>
      </c>
      <c r="J11" s="15" t="s">
        <v>32</v>
      </c>
      <c r="K11" s="13">
        <v>1.1000000000000001</v>
      </c>
      <c r="L11" s="15" t="s">
        <v>67</v>
      </c>
      <c r="M11" s="14">
        <v>29</v>
      </c>
      <c r="N11" s="14">
        <v>50</v>
      </c>
      <c r="O11" s="14" t="s">
        <v>69</v>
      </c>
    </row>
    <row r="12" spans="2:15" ht="14.4" x14ac:dyDescent="0.25">
      <c r="B12" s="15" t="s">
        <v>43</v>
      </c>
      <c r="C12" s="15" t="s">
        <v>30</v>
      </c>
      <c r="D12" s="15" t="s">
        <v>70</v>
      </c>
      <c r="E12" s="13">
        <v>6.2</v>
      </c>
      <c r="F12" s="13">
        <v>4.7</v>
      </c>
      <c r="G12" s="14">
        <v>350</v>
      </c>
      <c r="H12" s="28">
        <v>0.10100000000000001</v>
      </c>
      <c r="I12" s="15" t="s">
        <v>44</v>
      </c>
      <c r="J12" s="15" t="s">
        <v>32</v>
      </c>
      <c r="K12" s="13">
        <v>1.6</v>
      </c>
      <c r="L12" s="15" t="s">
        <v>45</v>
      </c>
      <c r="M12" s="14">
        <v>35.5</v>
      </c>
      <c r="N12" s="14">
        <v>63</v>
      </c>
      <c r="O12" s="14" t="s">
        <v>69</v>
      </c>
    </row>
    <row r="13" spans="2:15" ht="14.4" x14ac:dyDescent="0.25">
      <c r="B13" s="15" t="s">
        <v>46</v>
      </c>
      <c r="C13" s="15" t="s">
        <v>30</v>
      </c>
      <c r="D13" s="15" t="s">
        <v>70</v>
      </c>
      <c r="E13" s="13">
        <v>7.9</v>
      </c>
      <c r="F13" s="13">
        <v>5.9</v>
      </c>
      <c r="G13" s="14">
        <v>383.33</v>
      </c>
      <c r="H13" s="28">
        <v>0.13500000000000001</v>
      </c>
      <c r="I13" s="15" t="s">
        <v>47</v>
      </c>
      <c r="J13" s="15" t="s">
        <v>32</v>
      </c>
      <c r="K13" s="13">
        <v>1.9</v>
      </c>
      <c r="L13" s="15" t="s">
        <v>45</v>
      </c>
      <c r="M13" s="14">
        <v>36.5</v>
      </c>
      <c r="N13" s="14">
        <v>80</v>
      </c>
      <c r="O13" s="14" t="s">
        <v>69</v>
      </c>
    </row>
    <row r="14" spans="2:15" ht="14.4" x14ac:dyDescent="0.25">
      <c r="B14" s="15" t="s">
        <v>34</v>
      </c>
      <c r="C14" s="15" t="s">
        <v>30</v>
      </c>
      <c r="D14" s="15" t="s">
        <v>70</v>
      </c>
      <c r="E14" s="13">
        <v>9.9</v>
      </c>
      <c r="F14" s="13">
        <v>7.5</v>
      </c>
      <c r="G14" s="14">
        <v>533.33000000000004</v>
      </c>
      <c r="H14" s="29">
        <v>0.17299999999999999</v>
      </c>
      <c r="I14" s="15" t="s">
        <v>35</v>
      </c>
      <c r="J14" s="15" t="s">
        <v>32</v>
      </c>
      <c r="K14" s="13">
        <v>2.4</v>
      </c>
      <c r="L14" s="15" t="s">
        <v>33</v>
      </c>
      <c r="M14" s="14">
        <v>46</v>
      </c>
      <c r="N14" s="14">
        <v>100</v>
      </c>
      <c r="O14" s="14" t="s">
        <v>69</v>
      </c>
    </row>
    <row r="15" spans="2:15" ht="14.4" x14ac:dyDescent="0.25">
      <c r="B15" s="15" t="s">
        <v>29</v>
      </c>
      <c r="C15" s="15" t="s">
        <v>30</v>
      </c>
      <c r="D15" s="15" t="s">
        <v>70</v>
      </c>
      <c r="E15" s="13">
        <v>12.4</v>
      </c>
      <c r="F15" s="13">
        <v>9.3000000000000007</v>
      </c>
      <c r="G15" s="14">
        <v>600</v>
      </c>
      <c r="H15" s="28">
        <v>0.23699999999999999</v>
      </c>
      <c r="I15" s="15" t="s">
        <v>31</v>
      </c>
      <c r="J15" s="15" t="s">
        <v>32</v>
      </c>
      <c r="K15" s="13">
        <v>2.6</v>
      </c>
      <c r="L15" s="15" t="s">
        <v>33</v>
      </c>
      <c r="M15" s="14">
        <v>47</v>
      </c>
      <c r="N15" s="14">
        <v>125</v>
      </c>
      <c r="O15" s="14" t="s">
        <v>69</v>
      </c>
    </row>
    <row r="16" spans="2:15" ht="14.4" x14ac:dyDescent="0.25">
      <c r="B16" s="15" t="s">
        <v>36</v>
      </c>
      <c r="C16" s="15" t="s">
        <v>30</v>
      </c>
      <c r="D16" s="15" t="s">
        <v>70</v>
      </c>
      <c r="E16" s="13">
        <v>14.2</v>
      </c>
      <c r="F16" s="13">
        <v>10.6</v>
      </c>
      <c r="G16" s="14">
        <v>650</v>
      </c>
      <c r="H16" s="28">
        <v>0.247</v>
      </c>
      <c r="I16" s="15" t="s">
        <v>37</v>
      </c>
      <c r="J16" s="15" t="s">
        <v>32</v>
      </c>
      <c r="K16" s="13">
        <v>3.1</v>
      </c>
      <c r="L16" s="15" t="s">
        <v>38</v>
      </c>
      <c r="M16" s="14">
        <v>51</v>
      </c>
      <c r="N16" s="14">
        <v>140</v>
      </c>
      <c r="O16" s="14" t="s">
        <v>69</v>
      </c>
    </row>
    <row r="17" spans="2:15" ht="14.4" x14ac:dyDescent="0.25">
      <c r="B17" s="15" t="s">
        <v>71</v>
      </c>
      <c r="C17" s="15" t="s">
        <v>30</v>
      </c>
      <c r="D17" s="15" t="s">
        <v>70</v>
      </c>
      <c r="E17" s="13">
        <v>4</v>
      </c>
      <c r="F17" s="13">
        <v>3.5</v>
      </c>
      <c r="G17" s="14">
        <v>266.67</v>
      </c>
      <c r="H17" s="28">
        <v>0.151</v>
      </c>
      <c r="I17" s="15" t="s">
        <v>81</v>
      </c>
      <c r="J17" s="15" t="s">
        <v>82</v>
      </c>
      <c r="K17" s="13">
        <v>1.4</v>
      </c>
      <c r="L17" s="15" t="s">
        <v>91</v>
      </c>
      <c r="M17" s="14">
        <v>27</v>
      </c>
      <c r="N17" s="14">
        <v>40</v>
      </c>
      <c r="O17" s="14" t="s">
        <v>96</v>
      </c>
    </row>
    <row r="18" spans="2:15" ht="14.4" x14ac:dyDescent="0.25">
      <c r="B18" s="15" t="s">
        <v>72</v>
      </c>
      <c r="C18" s="15" t="s">
        <v>30</v>
      </c>
      <c r="D18" s="15" t="s">
        <v>70</v>
      </c>
      <c r="E18" s="13">
        <v>4.9000000000000004</v>
      </c>
      <c r="F18" s="13">
        <v>4.2</v>
      </c>
      <c r="G18" s="14">
        <v>300</v>
      </c>
      <c r="H18" s="28">
        <v>0.128</v>
      </c>
      <c r="I18" s="15" t="s">
        <v>83</v>
      </c>
      <c r="J18" s="15" t="s">
        <v>82</v>
      </c>
      <c r="K18" s="13">
        <v>1.6</v>
      </c>
      <c r="L18" s="15" t="s">
        <v>92</v>
      </c>
      <c r="M18" s="14">
        <v>35</v>
      </c>
      <c r="N18" s="14">
        <v>50</v>
      </c>
      <c r="O18" s="14" t="s">
        <v>96</v>
      </c>
    </row>
    <row r="19" spans="2:15" ht="14.4" x14ac:dyDescent="0.25">
      <c r="B19" s="15" t="s">
        <v>73</v>
      </c>
      <c r="C19" s="15" t="s">
        <v>30</v>
      </c>
      <c r="D19" s="15" t="s">
        <v>70</v>
      </c>
      <c r="E19" s="13">
        <v>6.2</v>
      </c>
      <c r="F19" s="13">
        <v>5.0999999999999996</v>
      </c>
      <c r="G19" s="14">
        <v>325</v>
      </c>
      <c r="H19" s="28">
        <v>0.13800000000000001</v>
      </c>
      <c r="I19" s="15" t="s">
        <v>84</v>
      </c>
      <c r="J19" s="15" t="s">
        <v>82</v>
      </c>
      <c r="K19" s="13">
        <v>1.8</v>
      </c>
      <c r="L19" s="15" t="s">
        <v>92</v>
      </c>
      <c r="M19" s="14">
        <v>35</v>
      </c>
      <c r="N19" s="14">
        <v>63</v>
      </c>
      <c r="O19" s="14" t="s">
        <v>96</v>
      </c>
    </row>
    <row r="20" spans="2:15" ht="14.4" x14ac:dyDescent="0.25">
      <c r="B20" s="15" t="s">
        <v>74</v>
      </c>
      <c r="C20" s="15" t="s">
        <v>30</v>
      </c>
      <c r="D20" s="15" t="s">
        <v>70</v>
      </c>
      <c r="E20" s="13">
        <v>7.9</v>
      </c>
      <c r="F20" s="13">
        <v>6.4</v>
      </c>
      <c r="G20" s="14">
        <v>416.67</v>
      </c>
      <c r="H20" s="28">
        <v>0.185</v>
      </c>
      <c r="I20" s="15" t="s">
        <v>85</v>
      </c>
      <c r="J20" s="15" t="s">
        <v>82</v>
      </c>
      <c r="K20" s="13">
        <v>2.2999999999999998</v>
      </c>
      <c r="L20" s="15" t="s">
        <v>92</v>
      </c>
      <c r="M20" s="14">
        <v>35</v>
      </c>
      <c r="N20" s="14">
        <v>80</v>
      </c>
      <c r="O20" s="14" t="s">
        <v>96</v>
      </c>
    </row>
    <row r="21" spans="2:15" ht="14.4" x14ac:dyDescent="0.25">
      <c r="B21" s="15" t="s">
        <v>75</v>
      </c>
      <c r="C21" s="15" t="s">
        <v>30</v>
      </c>
      <c r="D21" s="15" t="s">
        <v>70</v>
      </c>
      <c r="E21" s="13">
        <v>9.9</v>
      </c>
      <c r="F21" s="13">
        <v>7.7</v>
      </c>
      <c r="G21" s="14">
        <v>533.33000000000004</v>
      </c>
      <c r="H21" s="29">
        <v>0.215</v>
      </c>
      <c r="I21" s="15" t="s">
        <v>85</v>
      </c>
      <c r="J21" s="15" t="s">
        <v>82</v>
      </c>
      <c r="K21" s="13">
        <v>2.9</v>
      </c>
      <c r="L21" s="15" t="s">
        <v>93</v>
      </c>
      <c r="M21" s="14">
        <v>45</v>
      </c>
      <c r="N21" s="14">
        <v>100</v>
      </c>
      <c r="O21" s="14" t="s">
        <v>96</v>
      </c>
    </row>
    <row r="22" spans="2:15" ht="14.4" x14ac:dyDescent="0.25">
      <c r="B22" s="15" t="s">
        <v>76</v>
      </c>
      <c r="C22" s="15" t="s">
        <v>30</v>
      </c>
      <c r="D22" s="15" t="s">
        <v>70</v>
      </c>
      <c r="E22" s="13">
        <v>12.4</v>
      </c>
      <c r="F22" s="13">
        <v>9.6</v>
      </c>
      <c r="G22" s="14">
        <v>650</v>
      </c>
      <c r="H22" s="28">
        <v>0.28399999999999997</v>
      </c>
      <c r="I22" s="15" t="s">
        <v>86</v>
      </c>
      <c r="J22" s="15" t="s">
        <v>82</v>
      </c>
      <c r="K22" s="13">
        <v>3.4</v>
      </c>
      <c r="L22" s="15" t="s">
        <v>93</v>
      </c>
      <c r="M22" s="14">
        <v>45</v>
      </c>
      <c r="N22" s="14">
        <v>125</v>
      </c>
      <c r="O22" s="14" t="s">
        <v>96</v>
      </c>
    </row>
    <row r="23" spans="2:15" ht="14.4" x14ac:dyDescent="0.25">
      <c r="B23" s="15" t="s">
        <v>77</v>
      </c>
      <c r="C23" s="15" t="s">
        <v>30</v>
      </c>
      <c r="D23" s="15" t="s">
        <v>70</v>
      </c>
      <c r="E23" s="13">
        <v>14.2</v>
      </c>
      <c r="F23" s="13">
        <v>10.9</v>
      </c>
      <c r="G23" s="14">
        <v>766.67</v>
      </c>
      <c r="H23" s="28">
        <v>0.40500000000000003</v>
      </c>
      <c r="I23" s="15" t="s">
        <v>87</v>
      </c>
      <c r="J23" s="15" t="s">
        <v>82</v>
      </c>
      <c r="K23" s="13">
        <v>3.4</v>
      </c>
      <c r="L23" s="15" t="s">
        <v>93</v>
      </c>
      <c r="M23" s="14">
        <v>46</v>
      </c>
      <c r="N23" s="14">
        <v>140</v>
      </c>
      <c r="O23" s="14" t="s">
        <v>96</v>
      </c>
    </row>
    <row r="24" spans="2:15" ht="14.4" x14ac:dyDescent="0.25">
      <c r="B24" s="15" t="s">
        <v>78</v>
      </c>
      <c r="C24" s="15" t="s">
        <v>30</v>
      </c>
      <c r="D24" s="15" t="s">
        <v>70</v>
      </c>
      <c r="E24" s="13">
        <v>17.100000000000001</v>
      </c>
      <c r="F24" s="13">
        <v>13.9</v>
      </c>
      <c r="G24" s="14">
        <v>966.67</v>
      </c>
      <c r="H24" s="28">
        <v>0.9</v>
      </c>
      <c r="I24" s="15" t="s">
        <v>88</v>
      </c>
      <c r="J24" s="15" t="s">
        <v>32</v>
      </c>
      <c r="K24" s="13">
        <v>4.9000000000000004</v>
      </c>
      <c r="L24" s="15" t="s">
        <v>94</v>
      </c>
      <c r="M24" s="14">
        <v>110</v>
      </c>
      <c r="N24" s="14">
        <v>170</v>
      </c>
      <c r="O24" s="14" t="s">
        <v>96</v>
      </c>
    </row>
    <row r="25" spans="2:15" ht="14.4" x14ac:dyDescent="0.25">
      <c r="B25" s="15" t="s">
        <v>79</v>
      </c>
      <c r="C25" s="15" t="s">
        <v>30</v>
      </c>
      <c r="D25" s="15" t="s">
        <v>70</v>
      </c>
      <c r="E25" s="13">
        <v>19.8</v>
      </c>
      <c r="F25" s="13">
        <v>16</v>
      </c>
      <c r="G25" s="14">
        <v>1133.33</v>
      </c>
      <c r="H25" s="28">
        <v>1.1000000000000001</v>
      </c>
      <c r="I25" s="15" t="s">
        <v>89</v>
      </c>
      <c r="J25" s="15" t="s">
        <v>32</v>
      </c>
      <c r="K25" s="13">
        <v>8.1999999999999993</v>
      </c>
      <c r="L25" s="15" t="s">
        <v>94</v>
      </c>
      <c r="M25" s="14">
        <v>110</v>
      </c>
      <c r="N25" s="14">
        <v>200</v>
      </c>
      <c r="O25" s="14" t="s">
        <v>96</v>
      </c>
    </row>
    <row r="26" spans="2:15" ht="14.4" x14ac:dyDescent="0.25">
      <c r="B26" s="15" t="s">
        <v>80</v>
      </c>
      <c r="C26" s="15" t="s">
        <v>30</v>
      </c>
      <c r="D26" s="15" t="s">
        <v>70</v>
      </c>
      <c r="E26" s="13">
        <v>24.7</v>
      </c>
      <c r="F26" s="13">
        <v>19.7</v>
      </c>
      <c r="G26" s="14">
        <v>1333.33</v>
      </c>
      <c r="H26" s="28">
        <v>1.65</v>
      </c>
      <c r="I26" s="15" t="s">
        <v>90</v>
      </c>
      <c r="J26" s="15" t="s">
        <v>32</v>
      </c>
      <c r="K26" s="13">
        <v>10.9</v>
      </c>
      <c r="L26" s="15" t="s">
        <v>95</v>
      </c>
      <c r="M26" s="14">
        <v>130</v>
      </c>
      <c r="N26" s="14">
        <v>250</v>
      </c>
      <c r="O26" s="14" t="s">
        <v>96</v>
      </c>
    </row>
    <row r="27" spans="2:15" ht="14.4" x14ac:dyDescent="0.25">
      <c r="B27" s="15" t="s">
        <v>97</v>
      </c>
      <c r="C27" s="15" t="s">
        <v>110</v>
      </c>
      <c r="D27" s="15" t="s">
        <v>70</v>
      </c>
      <c r="E27" s="13">
        <v>1.5</v>
      </c>
      <c r="F27" s="13">
        <v>1.4</v>
      </c>
      <c r="G27" s="14">
        <v>140</v>
      </c>
      <c r="H27" s="28">
        <v>0.02</v>
      </c>
      <c r="I27" s="15" t="s">
        <v>111</v>
      </c>
      <c r="J27" s="15" t="s">
        <v>82</v>
      </c>
      <c r="K27" s="13">
        <v>0.3</v>
      </c>
      <c r="L27" s="15" t="s">
        <v>122</v>
      </c>
      <c r="M27" s="14">
        <v>12</v>
      </c>
      <c r="N27" s="14">
        <v>15</v>
      </c>
      <c r="O27" s="14" t="s">
        <v>125</v>
      </c>
    </row>
    <row r="28" spans="2:15" ht="14.4" x14ac:dyDescent="0.25">
      <c r="B28" s="15" t="s">
        <v>98</v>
      </c>
      <c r="C28" s="15" t="s">
        <v>110</v>
      </c>
      <c r="D28" s="15" t="s">
        <v>70</v>
      </c>
      <c r="E28" s="13">
        <v>2</v>
      </c>
      <c r="F28" s="13">
        <v>1.8</v>
      </c>
      <c r="G28" s="14">
        <v>151.66999999999999</v>
      </c>
      <c r="H28" s="29">
        <v>0.02</v>
      </c>
      <c r="I28" s="15" t="s">
        <v>112</v>
      </c>
      <c r="J28" s="15" t="s">
        <v>82</v>
      </c>
      <c r="K28" s="13">
        <v>0.3</v>
      </c>
      <c r="L28" s="15" t="s">
        <v>122</v>
      </c>
      <c r="M28" s="14">
        <v>12</v>
      </c>
      <c r="N28" s="14">
        <v>20</v>
      </c>
      <c r="O28" s="14" t="s">
        <v>125</v>
      </c>
    </row>
    <row r="29" spans="2:15" ht="14.4" x14ac:dyDescent="0.25">
      <c r="B29" s="15" t="s">
        <v>99</v>
      </c>
      <c r="C29" s="15" t="s">
        <v>110</v>
      </c>
      <c r="D29" s="15" t="s">
        <v>70</v>
      </c>
      <c r="E29" s="13">
        <v>2.5</v>
      </c>
      <c r="F29" s="13">
        <v>2.1</v>
      </c>
      <c r="G29" s="14">
        <v>156.66999999999999</v>
      </c>
      <c r="H29" s="28">
        <v>0.03</v>
      </c>
      <c r="I29" s="15" t="s">
        <v>47</v>
      </c>
      <c r="J29" s="15" t="s">
        <v>82</v>
      </c>
      <c r="K29" s="13">
        <v>0.4</v>
      </c>
      <c r="L29" s="15" t="s">
        <v>122</v>
      </c>
      <c r="M29" s="14">
        <v>12</v>
      </c>
      <c r="N29" s="14">
        <v>25</v>
      </c>
      <c r="O29" s="14" t="s">
        <v>125</v>
      </c>
    </row>
    <row r="30" spans="2:15" ht="14.4" x14ac:dyDescent="0.25">
      <c r="B30" s="15" t="s">
        <v>100</v>
      </c>
      <c r="C30" s="15" t="s">
        <v>110</v>
      </c>
      <c r="D30" s="15" t="s">
        <v>70</v>
      </c>
      <c r="E30" s="13">
        <v>3.2</v>
      </c>
      <c r="F30" s="13">
        <v>2.5</v>
      </c>
      <c r="G30" s="14">
        <v>163.33000000000001</v>
      </c>
      <c r="H30" s="28">
        <v>0.03</v>
      </c>
      <c r="I30" s="15" t="s">
        <v>113</v>
      </c>
      <c r="J30" s="15" t="s">
        <v>82</v>
      </c>
      <c r="K30" s="13">
        <v>0.4</v>
      </c>
      <c r="L30" s="15" t="s">
        <v>122</v>
      </c>
      <c r="M30" s="14">
        <v>12</v>
      </c>
      <c r="N30" s="14">
        <v>32</v>
      </c>
      <c r="O30" s="14" t="s">
        <v>125</v>
      </c>
    </row>
    <row r="31" spans="2:15" ht="14.4" x14ac:dyDescent="0.25">
      <c r="B31" s="15" t="s">
        <v>101</v>
      </c>
      <c r="C31" s="15" t="s">
        <v>110</v>
      </c>
      <c r="D31" s="15" t="s">
        <v>70</v>
      </c>
      <c r="E31" s="13">
        <v>4</v>
      </c>
      <c r="F31" s="13">
        <v>3.4</v>
      </c>
      <c r="G31" s="14">
        <v>203.33</v>
      </c>
      <c r="H31" s="28">
        <v>0.02</v>
      </c>
      <c r="I31" s="15" t="s">
        <v>114</v>
      </c>
      <c r="J31" s="15" t="s">
        <v>82</v>
      </c>
      <c r="K31" s="13">
        <v>0.4</v>
      </c>
      <c r="L31" s="15" t="s">
        <v>123</v>
      </c>
      <c r="M31" s="14">
        <v>15</v>
      </c>
      <c r="N31" s="14">
        <v>40</v>
      </c>
      <c r="O31" s="14" t="s">
        <v>125</v>
      </c>
    </row>
    <row r="32" spans="2:15" ht="14.4" x14ac:dyDescent="0.25">
      <c r="B32" s="15" t="s">
        <v>102</v>
      </c>
      <c r="C32" s="15" t="s">
        <v>110</v>
      </c>
      <c r="D32" s="15" t="s">
        <v>70</v>
      </c>
      <c r="E32" s="13">
        <v>4.9000000000000004</v>
      </c>
      <c r="F32" s="13">
        <v>3.8</v>
      </c>
      <c r="G32" s="14">
        <v>240</v>
      </c>
      <c r="H32" s="28">
        <v>0.03</v>
      </c>
      <c r="I32" s="15" t="s">
        <v>115</v>
      </c>
      <c r="J32" s="15" t="s">
        <v>82</v>
      </c>
      <c r="K32" s="13">
        <v>0.5</v>
      </c>
      <c r="L32" s="15" t="s">
        <v>123</v>
      </c>
      <c r="M32" s="14">
        <v>15</v>
      </c>
      <c r="N32" s="14">
        <v>50</v>
      </c>
      <c r="O32" s="14" t="s">
        <v>125</v>
      </c>
    </row>
    <row r="33" spans="2:15" ht="14.4" x14ac:dyDescent="0.25">
      <c r="B33" s="15" t="s">
        <v>103</v>
      </c>
      <c r="C33" s="15" t="s">
        <v>110</v>
      </c>
      <c r="D33" s="15" t="s">
        <v>70</v>
      </c>
      <c r="E33" s="13">
        <v>6.2</v>
      </c>
      <c r="F33" s="13">
        <v>4.8</v>
      </c>
      <c r="G33" s="14">
        <v>305</v>
      </c>
      <c r="H33" s="28">
        <v>0.05</v>
      </c>
      <c r="I33" s="15" t="s">
        <v>116</v>
      </c>
      <c r="J33" s="15" t="s">
        <v>82</v>
      </c>
      <c r="K33" s="13">
        <v>0.7</v>
      </c>
      <c r="L33" s="15" t="s">
        <v>123</v>
      </c>
      <c r="M33" s="14">
        <v>15</v>
      </c>
      <c r="N33" s="14">
        <v>63</v>
      </c>
      <c r="O33" s="14" t="s">
        <v>125</v>
      </c>
    </row>
    <row r="34" spans="2:15" ht="14.4" x14ac:dyDescent="0.25">
      <c r="B34" s="15" t="s">
        <v>104</v>
      </c>
      <c r="C34" s="15" t="s">
        <v>110</v>
      </c>
      <c r="D34" s="15" t="s">
        <v>70</v>
      </c>
      <c r="E34" s="13">
        <v>2</v>
      </c>
      <c r="F34" s="13">
        <v>1.8</v>
      </c>
      <c r="G34" s="14">
        <v>125</v>
      </c>
      <c r="H34" s="28">
        <v>1.7000000000000001E-2</v>
      </c>
      <c r="I34" s="15" t="s">
        <v>117</v>
      </c>
      <c r="J34" s="15" t="s">
        <v>82</v>
      </c>
      <c r="K34" s="13">
        <v>0.3</v>
      </c>
      <c r="L34" s="15" t="s">
        <v>124</v>
      </c>
      <c r="M34" s="14">
        <v>13</v>
      </c>
      <c r="N34" s="14">
        <v>20</v>
      </c>
      <c r="O34" s="14" t="s">
        <v>96</v>
      </c>
    </row>
    <row r="35" spans="2:15" ht="14.4" x14ac:dyDescent="0.25">
      <c r="B35" s="15" t="s">
        <v>105</v>
      </c>
      <c r="C35" s="15" t="s">
        <v>110</v>
      </c>
      <c r="D35" s="15" t="s">
        <v>70</v>
      </c>
      <c r="E35" s="13">
        <v>2.5</v>
      </c>
      <c r="F35" s="13">
        <v>2.1</v>
      </c>
      <c r="G35" s="14">
        <v>150</v>
      </c>
      <c r="H35" s="28">
        <v>1.9E-2</v>
      </c>
      <c r="I35" s="15" t="s">
        <v>35</v>
      </c>
      <c r="J35" s="15" t="s">
        <v>82</v>
      </c>
      <c r="K35" s="13">
        <v>0.4</v>
      </c>
      <c r="L35" s="15" t="s">
        <v>124</v>
      </c>
      <c r="M35" s="14">
        <v>13</v>
      </c>
      <c r="N35" s="14">
        <v>25</v>
      </c>
      <c r="O35" s="14" t="s">
        <v>96</v>
      </c>
    </row>
    <row r="36" spans="2:15" ht="14.4" x14ac:dyDescent="0.25">
      <c r="B36" s="15" t="s">
        <v>106</v>
      </c>
      <c r="C36" s="15" t="s">
        <v>110</v>
      </c>
      <c r="D36" s="15" t="s">
        <v>70</v>
      </c>
      <c r="E36" s="13">
        <v>3.2</v>
      </c>
      <c r="F36" s="13">
        <v>2.4</v>
      </c>
      <c r="G36" s="14">
        <v>183.33</v>
      </c>
      <c r="H36" s="28">
        <v>2.1000000000000001E-2</v>
      </c>
      <c r="I36" s="15" t="s">
        <v>118</v>
      </c>
      <c r="J36" s="15" t="s">
        <v>82</v>
      </c>
      <c r="K36" s="13">
        <v>0.4</v>
      </c>
      <c r="L36" s="15" t="s">
        <v>124</v>
      </c>
      <c r="M36" s="14">
        <v>13</v>
      </c>
      <c r="N36" s="14">
        <v>32</v>
      </c>
      <c r="O36" s="14" t="s">
        <v>96</v>
      </c>
    </row>
    <row r="37" spans="2:15" ht="14.4" x14ac:dyDescent="0.25">
      <c r="B37" s="15" t="s">
        <v>107</v>
      </c>
      <c r="C37" s="15" t="s">
        <v>110</v>
      </c>
      <c r="D37" s="15" t="s">
        <v>70</v>
      </c>
      <c r="E37" s="13">
        <v>4</v>
      </c>
      <c r="F37" s="13">
        <v>3.2</v>
      </c>
      <c r="G37" s="14">
        <v>216.67</v>
      </c>
      <c r="H37" s="28">
        <v>2.1999999999999999E-2</v>
      </c>
      <c r="I37" s="15" t="s">
        <v>119</v>
      </c>
      <c r="J37" s="15" t="s">
        <v>82</v>
      </c>
      <c r="K37" s="13">
        <v>0.4</v>
      </c>
      <c r="L37" s="15" t="s">
        <v>124</v>
      </c>
      <c r="M37" s="14">
        <v>13</v>
      </c>
      <c r="N37" s="14">
        <v>40</v>
      </c>
      <c r="O37" s="14" t="s">
        <v>96</v>
      </c>
    </row>
    <row r="38" spans="2:15" ht="14.4" x14ac:dyDescent="0.25">
      <c r="B38" s="15" t="s">
        <v>108</v>
      </c>
      <c r="C38" s="15" t="s">
        <v>110</v>
      </c>
      <c r="D38" s="15" t="s">
        <v>70</v>
      </c>
      <c r="E38" s="13">
        <v>4.9000000000000004</v>
      </c>
      <c r="F38" s="13">
        <v>3.8</v>
      </c>
      <c r="G38" s="14">
        <v>250</v>
      </c>
      <c r="H38" s="29">
        <v>2.7E-2</v>
      </c>
      <c r="I38" s="15" t="s">
        <v>120</v>
      </c>
      <c r="J38" s="15" t="s">
        <v>82</v>
      </c>
      <c r="K38" s="13">
        <v>0.5</v>
      </c>
      <c r="L38" s="15" t="s">
        <v>124</v>
      </c>
      <c r="M38" s="14">
        <v>13</v>
      </c>
      <c r="N38" s="14">
        <v>50</v>
      </c>
      <c r="O38" s="14" t="s">
        <v>96</v>
      </c>
    </row>
    <row r="39" spans="2:15" ht="14.4" x14ac:dyDescent="0.25">
      <c r="B39" s="15" t="s">
        <v>109</v>
      </c>
      <c r="C39" s="15" t="s">
        <v>110</v>
      </c>
      <c r="D39" s="15" t="s">
        <v>70</v>
      </c>
      <c r="E39" s="13">
        <v>6.2</v>
      </c>
      <c r="F39" s="13">
        <v>4.8</v>
      </c>
      <c r="G39" s="14">
        <v>316.67</v>
      </c>
      <c r="H39" s="28">
        <v>5.6000000000000001E-2</v>
      </c>
      <c r="I39" s="15" t="s">
        <v>121</v>
      </c>
      <c r="J39" s="15" t="s">
        <v>82</v>
      </c>
      <c r="K39" s="13">
        <v>0.7</v>
      </c>
      <c r="L39" s="15" t="s">
        <v>124</v>
      </c>
      <c r="M39" s="14">
        <v>13</v>
      </c>
      <c r="N39" s="14">
        <v>63</v>
      </c>
      <c r="O39" s="14" t="s">
        <v>96</v>
      </c>
    </row>
    <row r="40" spans="2:15" ht="14.4" x14ac:dyDescent="0.25">
      <c r="B40" s="15" t="s">
        <v>126</v>
      </c>
      <c r="C40" s="15" t="s">
        <v>144</v>
      </c>
      <c r="D40" s="15" t="s">
        <v>70</v>
      </c>
      <c r="E40" s="13">
        <v>2</v>
      </c>
      <c r="F40" s="13">
        <v>1.6</v>
      </c>
      <c r="G40" s="14">
        <v>213.33</v>
      </c>
      <c r="H40" s="28">
        <v>1.7000000000000001E-2</v>
      </c>
      <c r="I40" s="15" t="s">
        <v>145</v>
      </c>
      <c r="J40" s="15" t="s">
        <v>32</v>
      </c>
      <c r="K40" s="13">
        <v>0.3</v>
      </c>
      <c r="L40" s="15" t="s">
        <v>158</v>
      </c>
      <c r="M40" s="14">
        <v>18</v>
      </c>
      <c r="N40" s="14">
        <v>20</v>
      </c>
      <c r="O40" s="14" t="s">
        <v>69</v>
      </c>
    </row>
    <row r="41" spans="2:15" ht="14.4" x14ac:dyDescent="0.25">
      <c r="B41" s="15" t="s">
        <v>127</v>
      </c>
      <c r="C41" s="15" t="s">
        <v>144</v>
      </c>
      <c r="D41" s="15" t="s">
        <v>70</v>
      </c>
      <c r="E41" s="13">
        <v>2.5</v>
      </c>
      <c r="F41" s="13">
        <v>1.9</v>
      </c>
      <c r="G41" s="14">
        <v>213.33</v>
      </c>
      <c r="H41" s="28">
        <v>1.7000000000000001E-2</v>
      </c>
      <c r="I41" s="15" t="s">
        <v>145</v>
      </c>
      <c r="J41" s="15" t="s">
        <v>32</v>
      </c>
      <c r="K41" s="13">
        <v>0.3</v>
      </c>
      <c r="L41" s="15" t="s">
        <v>158</v>
      </c>
      <c r="M41" s="14">
        <v>18</v>
      </c>
      <c r="N41" s="14">
        <v>25</v>
      </c>
      <c r="O41" s="14" t="s">
        <v>69</v>
      </c>
    </row>
    <row r="42" spans="2:15" ht="14.4" x14ac:dyDescent="0.25">
      <c r="B42" s="15" t="s">
        <v>128</v>
      </c>
      <c r="C42" s="15" t="s">
        <v>144</v>
      </c>
      <c r="D42" s="15" t="s">
        <v>70</v>
      </c>
      <c r="E42" s="13">
        <v>3.2</v>
      </c>
      <c r="F42" s="13">
        <v>2.6</v>
      </c>
      <c r="G42" s="14">
        <v>213.33</v>
      </c>
      <c r="H42" s="28">
        <v>1.7000000000000001E-2</v>
      </c>
      <c r="I42" s="15" t="s">
        <v>145</v>
      </c>
      <c r="J42" s="15" t="s">
        <v>32</v>
      </c>
      <c r="K42" s="13">
        <v>0.3</v>
      </c>
      <c r="L42" s="15" t="s">
        <v>158</v>
      </c>
      <c r="M42" s="14">
        <v>18</v>
      </c>
      <c r="N42" s="14">
        <v>32</v>
      </c>
      <c r="O42" s="14" t="s">
        <v>69</v>
      </c>
    </row>
    <row r="43" spans="2:15" ht="14.4" x14ac:dyDescent="0.25">
      <c r="B43" s="15" t="s">
        <v>129</v>
      </c>
      <c r="C43" s="15" t="s">
        <v>144</v>
      </c>
      <c r="D43" s="15" t="s">
        <v>70</v>
      </c>
      <c r="E43" s="13">
        <v>4</v>
      </c>
      <c r="F43" s="13">
        <v>3.1</v>
      </c>
      <c r="G43" s="14">
        <v>246.67</v>
      </c>
      <c r="H43" s="28">
        <v>1.7999999999999999E-2</v>
      </c>
      <c r="I43" s="15" t="s">
        <v>112</v>
      </c>
      <c r="J43" s="15" t="s">
        <v>32</v>
      </c>
      <c r="K43" s="13">
        <v>0.3</v>
      </c>
      <c r="L43" s="15" t="s">
        <v>158</v>
      </c>
      <c r="M43" s="14">
        <v>19</v>
      </c>
      <c r="N43" s="14">
        <v>40</v>
      </c>
      <c r="O43" s="14" t="s">
        <v>69</v>
      </c>
    </row>
    <row r="44" spans="2:15" ht="14.4" x14ac:dyDescent="0.25">
      <c r="B44" s="15" t="s">
        <v>130</v>
      </c>
      <c r="C44" s="15" t="s">
        <v>144</v>
      </c>
      <c r="D44" s="15" t="s">
        <v>70</v>
      </c>
      <c r="E44" s="13">
        <v>4.9000000000000004</v>
      </c>
      <c r="F44" s="13">
        <v>3.7</v>
      </c>
      <c r="G44" s="14">
        <v>251.67</v>
      </c>
      <c r="H44" s="28">
        <v>2.3E-2</v>
      </c>
      <c r="I44" s="15" t="s">
        <v>112</v>
      </c>
      <c r="J44" s="15" t="s">
        <v>32</v>
      </c>
      <c r="K44" s="13">
        <v>0.4</v>
      </c>
      <c r="L44" s="15" t="s">
        <v>158</v>
      </c>
      <c r="M44" s="14">
        <v>21</v>
      </c>
      <c r="N44" s="14">
        <v>50</v>
      </c>
      <c r="O44" s="14" t="s">
        <v>69</v>
      </c>
    </row>
    <row r="45" spans="2:15" ht="14.4" x14ac:dyDescent="0.25">
      <c r="B45" s="15" t="s">
        <v>131</v>
      </c>
      <c r="C45" s="15" t="s">
        <v>144</v>
      </c>
      <c r="D45" s="15" t="s">
        <v>70</v>
      </c>
      <c r="E45" s="13">
        <v>6.2</v>
      </c>
      <c r="F45" s="13">
        <v>4.8</v>
      </c>
      <c r="G45" s="14">
        <v>276.67</v>
      </c>
      <c r="H45" s="29">
        <v>2.8000000000000001E-2</v>
      </c>
      <c r="I45" s="15" t="s">
        <v>146</v>
      </c>
      <c r="J45" s="15" t="s">
        <v>32</v>
      </c>
      <c r="K45" s="13">
        <v>0.4</v>
      </c>
      <c r="L45" s="15" t="s">
        <v>158</v>
      </c>
      <c r="M45" s="14">
        <v>21</v>
      </c>
      <c r="N45" s="14">
        <v>63</v>
      </c>
      <c r="O45" s="14" t="s">
        <v>69</v>
      </c>
    </row>
    <row r="46" spans="2:15" ht="14.4" x14ac:dyDescent="0.25">
      <c r="B46" s="15" t="s">
        <v>132</v>
      </c>
      <c r="C46" s="15" t="s">
        <v>144</v>
      </c>
      <c r="D46" s="15" t="s">
        <v>70</v>
      </c>
      <c r="E46" s="13">
        <v>7.9</v>
      </c>
      <c r="F46" s="13">
        <v>6</v>
      </c>
      <c r="G46" s="14">
        <v>388.33</v>
      </c>
      <c r="H46" s="28">
        <v>4.4999999999999998E-2</v>
      </c>
      <c r="I46" s="15" t="s">
        <v>147</v>
      </c>
      <c r="J46" s="15" t="s">
        <v>32</v>
      </c>
      <c r="K46" s="13">
        <v>0.6</v>
      </c>
      <c r="L46" s="15" t="s">
        <v>159</v>
      </c>
      <c r="M46" s="14">
        <v>24</v>
      </c>
      <c r="N46" s="14">
        <v>80</v>
      </c>
      <c r="O46" s="14" t="s">
        <v>69</v>
      </c>
    </row>
    <row r="47" spans="2:15" ht="14.4" x14ac:dyDescent="0.25">
      <c r="B47" s="15" t="s">
        <v>133</v>
      </c>
      <c r="C47" s="15" t="s">
        <v>144</v>
      </c>
      <c r="D47" s="15" t="s">
        <v>70</v>
      </c>
      <c r="E47" s="13">
        <v>9.9</v>
      </c>
      <c r="F47" s="13">
        <v>7.2</v>
      </c>
      <c r="G47" s="14">
        <v>463.33</v>
      </c>
      <c r="H47" s="28">
        <v>7.0999999999999994E-2</v>
      </c>
      <c r="I47" s="15" t="s">
        <v>148</v>
      </c>
      <c r="J47" s="15" t="s">
        <v>32</v>
      </c>
      <c r="K47" s="13">
        <v>0.8</v>
      </c>
      <c r="L47" s="15" t="s">
        <v>159</v>
      </c>
      <c r="M47" s="14">
        <v>24</v>
      </c>
      <c r="N47" s="14">
        <v>100</v>
      </c>
      <c r="O47" s="14" t="s">
        <v>69</v>
      </c>
    </row>
    <row r="48" spans="2:15" ht="14.4" x14ac:dyDescent="0.25">
      <c r="B48" s="15" t="s">
        <v>134</v>
      </c>
      <c r="C48" s="15" t="s">
        <v>144</v>
      </c>
      <c r="D48" s="15" t="s">
        <v>70</v>
      </c>
      <c r="E48" s="13">
        <v>12.4</v>
      </c>
      <c r="F48" s="13">
        <v>9</v>
      </c>
      <c r="G48" s="14">
        <v>526.66999999999996</v>
      </c>
      <c r="H48" s="28">
        <v>0.10299999999999999</v>
      </c>
      <c r="I48" s="15" t="s">
        <v>149</v>
      </c>
      <c r="J48" s="15" t="s">
        <v>32</v>
      </c>
      <c r="K48" s="13">
        <v>1.3</v>
      </c>
      <c r="L48" s="15" t="s">
        <v>160</v>
      </c>
      <c r="M48" s="14">
        <v>26</v>
      </c>
      <c r="N48" s="14">
        <v>125</v>
      </c>
      <c r="O48" s="14" t="s">
        <v>69</v>
      </c>
    </row>
    <row r="49" spans="2:15" ht="14.4" x14ac:dyDescent="0.25">
      <c r="B49" s="15" t="s">
        <v>135</v>
      </c>
      <c r="C49" s="15" t="s">
        <v>144</v>
      </c>
      <c r="D49" s="15" t="s">
        <v>70</v>
      </c>
      <c r="E49" s="13">
        <v>2.5</v>
      </c>
      <c r="F49" s="13">
        <v>2.4</v>
      </c>
      <c r="G49" s="14">
        <v>216.67</v>
      </c>
      <c r="H49" s="28">
        <v>2.8000000000000001E-2</v>
      </c>
      <c r="I49" s="15" t="s">
        <v>150</v>
      </c>
      <c r="J49" s="15" t="s">
        <v>82</v>
      </c>
      <c r="K49" s="13">
        <v>0.3</v>
      </c>
      <c r="L49" s="15" t="s">
        <v>161</v>
      </c>
      <c r="M49" s="14">
        <v>19</v>
      </c>
      <c r="N49" s="14">
        <v>25</v>
      </c>
      <c r="O49" s="14" t="s">
        <v>96</v>
      </c>
    </row>
    <row r="50" spans="2:15" ht="14.4" x14ac:dyDescent="0.25">
      <c r="B50" s="15" t="s">
        <v>136</v>
      </c>
      <c r="C50" s="15" t="s">
        <v>144</v>
      </c>
      <c r="D50" s="15" t="s">
        <v>70</v>
      </c>
      <c r="E50" s="13">
        <v>3.2</v>
      </c>
      <c r="F50" s="13">
        <v>2.9</v>
      </c>
      <c r="G50" s="14">
        <v>216.67</v>
      </c>
      <c r="H50" s="28">
        <v>2.8000000000000001E-2</v>
      </c>
      <c r="I50" s="15" t="s">
        <v>150</v>
      </c>
      <c r="J50" s="15" t="s">
        <v>82</v>
      </c>
      <c r="K50" s="13">
        <v>0.3</v>
      </c>
      <c r="L50" s="15" t="s">
        <v>161</v>
      </c>
      <c r="M50" s="14">
        <v>19</v>
      </c>
      <c r="N50" s="14">
        <v>32</v>
      </c>
      <c r="O50" s="14" t="s">
        <v>96</v>
      </c>
    </row>
    <row r="51" spans="2:15" ht="14.4" x14ac:dyDescent="0.25">
      <c r="B51" s="15" t="s">
        <v>137</v>
      </c>
      <c r="C51" s="15" t="s">
        <v>144</v>
      </c>
      <c r="D51" s="15" t="s">
        <v>70</v>
      </c>
      <c r="E51" s="13">
        <v>4</v>
      </c>
      <c r="F51" s="13">
        <v>3.7</v>
      </c>
      <c r="G51" s="14">
        <v>283.33</v>
      </c>
      <c r="H51" s="28">
        <v>3.5000000000000003E-2</v>
      </c>
      <c r="I51" s="15" t="s">
        <v>151</v>
      </c>
      <c r="J51" s="15" t="s">
        <v>82</v>
      </c>
      <c r="K51" s="13">
        <v>0.4</v>
      </c>
      <c r="L51" s="15" t="s">
        <v>161</v>
      </c>
      <c r="M51" s="14">
        <v>19</v>
      </c>
      <c r="N51" s="14">
        <v>40</v>
      </c>
      <c r="O51" s="14" t="s">
        <v>96</v>
      </c>
    </row>
    <row r="52" spans="2:15" ht="14.4" x14ac:dyDescent="0.25">
      <c r="B52" s="15" t="s">
        <v>138</v>
      </c>
      <c r="C52" s="15" t="s">
        <v>144</v>
      </c>
      <c r="D52" s="15" t="s">
        <v>70</v>
      </c>
      <c r="E52" s="13">
        <v>4.9000000000000004</v>
      </c>
      <c r="F52" s="13">
        <v>4.5999999999999996</v>
      </c>
      <c r="G52" s="14">
        <v>383.33</v>
      </c>
      <c r="H52" s="28">
        <v>5.6000000000000001E-2</v>
      </c>
      <c r="I52" s="15" t="s">
        <v>152</v>
      </c>
      <c r="J52" s="15" t="s">
        <v>82</v>
      </c>
      <c r="K52" s="13">
        <v>0.6</v>
      </c>
      <c r="L52" s="15" t="s">
        <v>161</v>
      </c>
      <c r="M52" s="14">
        <v>24</v>
      </c>
      <c r="N52" s="14">
        <v>50</v>
      </c>
      <c r="O52" s="14" t="s">
        <v>96</v>
      </c>
    </row>
    <row r="53" spans="2:15" ht="14.4" x14ac:dyDescent="0.25">
      <c r="B53" s="15" t="s">
        <v>139</v>
      </c>
      <c r="C53" s="15" t="s">
        <v>144</v>
      </c>
      <c r="D53" s="15" t="s">
        <v>70</v>
      </c>
      <c r="E53" s="13">
        <v>6.2</v>
      </c>
      <c r="F53" s="13">
        <v>5.5</v>
      </c>
      <c r="G53" s="14">
        <v>391.67</v>
      </c>
      <c r="H53" s="28">
        <v>6.0999999999999999E-2</v>
      </c>
      <c r="I53" s="15" t="s">
        <v>153</v>
      </c>
      <c r="J53" s="15" t="s">
        <v>82</v>
      </c>
      <c r="K53" s="13">
        <v>0.6</v>
      </c>
      <c r="L53" s="15" t="s">
        <v>161</v>
      </c>
      <c r="M53" s="14">
        <v>22</v>
      </c>
      <c r="N53" s="14">
        <v>63</v>
      </c>
      <c r="O53" s="14" t="s">
        <v>96</v>
      </c>
    </row>
    <row r="54" spans="2:15" ht="14.4" x14ac:dyDescent="0.25">
      <c r="B54" s="15" t="s">
        <v>140</v>
      </c>
      <c r="C54" s="15" t="s">
        <v>144</v>
      </c>
      <c r="D54" s="15" t="s">
        <v>70</v>
      </c>
      <c r="E54" s="13">
        <v>7.9</v>
      </c>
      <c r="F54" s="13">
        <v>6.4</v>
      </c>
      <c r="G54" s="14">
        <v>408.33</v>
      </c>
      <c r="H54" s="28">
        <v>9.1999999999999998E-2</v>
      </c>
      <c r="I54" s="15" t="s">
        <v>154</v>
      </c>
      <c r="J54" s="15" t="s">
        <v>82</v>
      </c>
      <c r="K54" s="13">
        <v>1</v>
      </c>
      <c r="L54" s="15" t="s">
        <v>161</v>
      </c>
      <c r="M54" s="14">
        <v>22</v>
      </c>
      <c r="N54" s="14">
        <v>80</v>
      </c>
      <c r="O54" s="14" t="s">
        <v>96</v>
      </c>
    </row>
    <row r="55" spans="2:15" ht="14.4" x14ac:dyDescent="0.25">
      <c r="B55" s="15" t="s">
        <v>141</v>
      </c>
      <c r="C55" s="15" t="s">
        <v>144</v>
      </c>
      <c r="D55" s="15" t="s">
        <v>70</v>
      </c>
      <c r="E55" s="13">
        <v>9.9</v>
      </c>
      <c r="F55" s="13">
        <v>8.3000000000000007</v>
      </c>
      <c r="G55" s="14">
        <v>558.33000000000004</v>
      </c>
      <c r="H55" s="29">
        <v>0.16400000000000001</v>
      </c>
      <c r="I55" s="15" t="s">
        <v>155</v>
      </c>
      <c r="J55" s="15" t="s">
        <v>82</v>
      </c>
      <c r="K55" s="13">
        <v>1.4</v>
      </c>
      <c r="L55" s="15" t="s">
        <v>162</v>
      </c>
      <c r="M55" s="14">
        <v>25</v>
      </c>
      <c r="N55" s="14">
        <v>100</v>
      </c>
      <c r="O55" s="14" t="s">
        <v>96</v>
      </c>
    </row>
    <row r="56" spans="2:15" ht="14.4" x14ac:dyDescent="0.25">
      <c r="B56" s="15" t="s">
        <v>142</v>
      </c>
      <c r="C56" s="15" t="s">
        <v>144</v>
      </c>
      <c r="D56" s="15" t="s">
        <v>70</v>
      </c>
      <c r="E56" s="13">
        <v>12.4</v>
      </c>
      <c r="F56" s="13">
        <v>9.4</v>
      </c>
      <c r="G56" s="14">
        <v>575</v>
      </c>
      <c r="H56" s="28">
        <v>0.17</v>
      </c>
      <c r="I56" s="15" t="s">
        <v>156</v>
      </c>
      <c r="J56" s="15" t="s">
        <v>82</v>
      </c>
      <c r="K56" s="13">
        <v>1.6</v>
      </c>
      <c r="L56" s="15" t="s">
        <v>162</v>
      </c>
      <c r="M56" s="14">
        <v>25</v>
      </c>
      <c r="N56" s="14">
        <v>125</v>
      </c>
      <c r="O56" s="14" t="s">
        <v>96</v>
      </c>
    </row>
    <row r="57" spans="2:15" ht="14.4" x14ac:dyDescent="0.25">
      <c r="B57" s="15" t="s">
        <v>143</v>
      </c>
      <c r="C57" s="15" t="s">
        <v>144</v>
      </c>
      <c r="D57" s="15" t="s">
        <v>70</v>
      </c>
      <c r="E57" s="13">
        <v>14.2</v>
      </c>
      <c r="F57" s="13">
        <v>10.6</v>
      </c>
      <c r="G57" s="14">
        <v>591.66999999999996</v>
      </c>
      <c r="H57" s="28">
        <v>0.19400000000000001</v>
      </c>
      <c r="I57" s="15" t="s">
        <v>157</v>
      </c>
      <c r="J57" s="15" t="s">
        <v>82</v>
      </c>
      <c r="K57" s="13">
        <v>1.8</v>
      </c>
      <c r="L57" s="15" t="s">
        <v>162</v>
      </c>
      <c r="M57" s="14">
        <v>26</v>
      </c>
      <c r="N57" s="14">
        <v>140</v>
      </c>
      <c r="O57" s="14" t="s">
        <v>96</v>
      </c>
    </row>
  </sheetData>
  <mergeCells count="13">
    <mergeCell ref="K4:K5"/>
    <mergeCell ref="L4:L5"/>
    <mergeCell ref="M4:M5"/>
    <mergeCell ref="N3:N5"/>
    <mergeCell ref="O3:O5"/>
    <mergeCell ref="B3:B5"/>
    <mergeCell ref="C3:C5"/>
    <mergeCell ref="J3:J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949B-8DF2-4744-81F1-C3DBD5EBB257}">
  <dimension ref="B2:L16"/>
  <sheetViews>
    <sheetView workbookViewId="0">
      <selection activeCell="B6" sqref="B6"/>
    </sheetView>
  </sheetViews>
  <sheetFormatPr defaultRowHeight="13.2" x14ac:dyDescent="0.25"/>
  <cols>
    <col min="2" max="2" width="18.6640625" customWidth="1"/>
    <col min="3" max="3" width="11.109375" customWidth="1"/>
    <col min="4" max="5" width="10.77734375" customWidth="1"/>
    <col min="6" max="6" width="12.77734375" customWidth="1"/>
    <col min="10" max="10" width="19.77734375" customWidth="1"/>
  </cols>
  <sheetData>
    <row r="2" spans="2:12" x14ac:dyDescent="0.25">
      <c r="B2" s="30">
        <v>1</v>
      </c>
      <c r="C2" s="30">
        <v>2</v>
      </c>
      <c r="D2" s="30">
        <v>3</v>
      </c>
      <c r="E2" s="30">
        <v>4</v>
      </c>
      <c r="F2" s="30">
        <v>5</v>
      </c>
      <c r="G2" s="30">
        <v>6</v>
      </c>
      <c r="H2" s="30">
        <v>7</v>
      </c>
      <c r="I2" s="30">
        <v>8</v>
      </c>
      <c r="J2" s="30">
        <v>9</v>
      </c>
      <c r="K2" s="30">
        <v>10</v>
      </c>
      <c r="L2" s="30">
        <v>11</v>
      </c>
    </row>
    <row r="3" spans="2:12" ht="14.4" x14ac:dyDescent="0.25">
      <c r="B3" s="122" t="s">
        <v>14</v>
      </c>
      <c r="C3" s="122" t="s">
        <v>174</v>
      </c>
      <c r="D3" s="26" t="s">
        <v>26</v>
      </c>
      <c r="E3" s="123" t="s">
        <v>180</v>
      </c>
      <c r="F3" s="123" t="s">
        <v>10</v>
      </c>
      <c r="G3" s="26" t="s">
        <v>11</v>
      </c>
      <c r="H3" s="26" t="s">
        <v>17</v>
      </c>
      <c r="I3" s="26" t="s">
        <v>18</v>
      </c>
      <c r="J3" s="26" t="s">
        <v>12</v>
      </c>
      <c r="K3" s="26" t="s">
        <v>13</v>
      </c>
      <c r="L3" s="123" t="s">
        <v>57</v>
      </c>
    </row>
    <row r="4" spans="2:12" ht="15" customHeight="1" x14ac:dyDescent="0.25">
      <c r="B4" s="122"/>
      <c r="C4" s="122"/>
      <c r="D4" s="122" t="s">
        <v>28</v>
      </c>
      <c r="E4" s="124"/>
      <c r="F4" s="124"/>
      <c r="G4" s="122" t="s">
        <v>23</v>
      </c>
      <c r="H4" s="122" t="s">
        <v>23</v>
      </c>
      <c r="I4" s="122" t="s">
        <v>23</v>
      </c>
      <c r="J4" s="122" t="s">
        <v>24</v>
      </c>
      <c r="K4" s="122" t="s">
        <v>25</v>
      </c>
      <c r="L4" s="124"/>
    </row>
    <row r="5" spans="2:12" ht="13.5" customHeight="1" x14ac:dyDescent="0.25">
      <c r="B5" s="122"/>
      <c r="C5" s="122"/>
      <c r="D5" s="122"/>
      <c r="E5" s="125"/>
      <c r="F5" s="125"/>
      <c r="G5" s="122"/>
      <c r="H5" s="122"/>
      <c r="I5" s="122"/>
      <c r="J5" s="122"/>
      <c r="K5" s="122"/>
      <c r="L5" s="125"/>
    </row>
    <row r="6" spans="2:12" x14ac:dyDescent="0.25">
      <c r="B6" s="46" t="s">
        <v>163</v>
      </c>
      <c r="C6" s="47">
        <v>46</v>
      </c>
      <c r="D6" s="47">
        <v>12.6</v>
      </c>
      <c r="E6" s="47">
        <v>5.0999999999999996</v>
      </c>
      <c r="F6" s="47" t="s">
        <v>39</v>
      </c>
      <c r="G6" s="47">
        <v>16.100000000000001</v>
      </c>
      <c r="H6" s="49" t="s">
        <v>183</v>
      </c>
      <c r="I6" s="49" t="s">
        <v>183</v>
      </c>
      <c r="J6" s="47" t="s">
        <v>181</v>
      </c>
      <c r="K6" s="47">
        <v>165</v>
      </c>
      <c r="L6" s="47">
        <v>150</v>
      </c>
    </row>
    <row r="7" spans="2:12" x14ac:dyDescent="0.25">
      <c r="B7" s="46" t="s">
        <v>164</v>
      </c>
      <c r="C7" s="47">
        <v>46</v>
      </c>
      <c r="D7" s="47">
        <v>17.7</v>
      </c>
      <c r="E7" s="47">
        <v>6.5</v>
      </c>
      <c r="F7" s="47" t="s">
        <v>39</v>
      </c>
      <c r="G7" s="47">
        <v>21.2</v>
      </c>
      <c r="H7" s="49" t="s">
        <v>183</v>
      </c>
      <c r="I7" s="49" t="s">
        <v>183</v>
      </c>
      <c r="J7" s="47" t="s">
        <v>181</v>
      </c>
      <c r="K7" s="47">
        <v>175</v>
      </c>
      <c r="L7" s="47">
        <v>200</v>
      </c>
    </row>
    <row r="8" spans="2:12" x14ac:dyDescent="0.25">
      <c r="B8" s="46" t="s">
        <v>165</v>
      </c>
      <c r="C8" s="47">
        <v>46</v>
      </c>
      <c r="D8" s="47">
        <v>23.9</v>
      </c>
      <c r="E8" s="47">
        <v>9.4</v>
      </c>
      <c r="F8" s="47" t="s">
        <v>39</v>
      </c>
      <c r="G8" s="47">
        <v>26.9</v>
      </c>
      <c r="H8" s="49" t="s">
        <v>183</v>
      </c>
      <c r="I8" s="49" t="s">
        <v>183</v>
      </c>
      <c r="J8" s="47" t="s">
        <v>182</v>
      </c>
      <c r="K8" s="47">
        <v>220</v>
      </c>
      <c r="L8" s="47">
        <v>250</v>
      </c>
    </row>
    <row r="9" spans="2:12" x14ac:dyDescent="0.25">
      <c r="B9" s="46" t="s">
        <v>166</v>
      </c>
      <c r="C9" s="47">
        <v>46</v>
      </c>
      <c r="D9" s="47">
        <v>27.1</v>
      </c>
      <c r="E9" s="47">
        <v>10.4</v>
      </c>
      <c r="F9" s="47" t="s">
        <v>39</v>
      </c>
      <c r="G9" s="47">
        <v>26.9</v>
      </c>
      <c r="H9" s="49" t="s">
        <v>183</v>
      </c>
      <c r="I9" s="49" t="s">
        <v>183</v>
      </c>
      <c r="J9" s="47" t="s">
        <v>182</v>
      </c>
      <c r="K9" s="47">
        <v>220</v>
      </c>
      <c r="L9" s="47">
        <v>300</v>
      </c>
    </row>
    <row r="10" spans="2:12" x14ac:dyDescent="0.25">
      <c r="B10" s="46" t="s">
        <v>167</v>
      </c>
      <c r="C10" s="47">
        <v>46</v>
      </c>
      <c r="D10" s="47">
        <v>30.3</v>
      </c>
      <c r="E10" s="47">
        <v>12.5</v>
      </c>
      <c r="F10" s="47" t="s">
        <v>39</v>
      </c>
      <c r="G10" s="47">
        <v>38.9</v>
      </c>
      <c r="H10" s="49" t="s">
        <v>183</v>
      </c>
      <c r="I10" s="49" t="s">
        <v>183</v>
      </c>
      <c r="J10" s="47" t="s">
        <v>182</v>
      </c>
      <c r="K10" s="47">
        <v>285</v>
      </c>
      <c r="L10" s="47">
        <v>350</v>
      </c>
    </row>
    <row r="11" spans="2:12" x14ac:dyDescent="0.25">
      <c r="B11" s="46" t="s">
        <v>168</v>
      </c>
      <c r="C11" s="47">
        <v>46</v>
      </c>
      <c r="D11" s="47">
        <v>33.299999999999997</v>
      </c>
      <c r="E11" s="47">
        <v>12.5</v>
      </c>
      <c r="F11" s="47" t="s">
        <v>39</v>
      </c>
      <c r="G11" s="47">
        <v>38.9</v>
      </c>
      <c r="H11" s="49" t="s">
        <v>183</v>
      </c>
      <c r="I11" s="49" t="s">
        <v>183</v>
      </c>
      <c r="J11" s="47" t="s">
        <v>182</v>
      </c>
      <c r="K11" s="47">
        <v>285</v>
      </c>
      <c r="L11" s="47">
        <v>400</v>
      </c>
    </row>
    <row r="12" spans="2:12" x14ac:dyDescent="0.25">
      <c r="B12" s="46" t="s">
        <v>169</v>
      </c>
      <c r="C12" s="47">
        <v>46</v>
      </c>
      <c r="D12" s="47">
        <v>17.7</v>
      </c>
      <c r="E12" s="47">
        <v>6.56</v>
      </c>
      <c r="F12" s="47" t="s">
        <v>39</v>
      </c>
      <c r="G12" s="47">
        <v>16.100000000000001</v>
      </c>
      <c r="H12" s="47">
        <v>20</v>
      </c>
      <c r="I12" s="47">
        <v>8</v>
      </c>
      <c r="J12" s="47" t="s">
        <v>52</v>
      </c>
      <c r="K12" s="47">
        <v>198</v>
      </c>
      <c r="L12" s="47">
        <v>200</v>
      </c>
    </row>
    <row r="13" spans="2:12" x14ac:dyDescent="0.25">
      <c r="B13" s="46" t="s">
        <v>170</v>
      </c>
      <c r="C13" s="47">
        <v>46</v>
      </c>
      <c r="D13" s="47">
        <v>23.3</v>
      </c>
      <c r="E13" s="47">
        <v>7.95</v>
      </c>
      <c r="F13" s="47" t="s">
        <v>39</v>
      </c>
      <c r="G13" s="47">
        <v>22</v>
      </c>
      <c r="H13" s="47">
        <v>25</v>
      </c>
      <c r="I13" s="47">
        <v>9.3000000000000007</v>
      </c>
      <c r="J13" s="47" t="s">
        <v>40</v>
      </c>
      <c r="K13" s="47">
        <v>234</v>
      </c>
      <c r="L13" s="47">
        <v>250</v>
      </c>
    </row>
    <row r="14" spans="2:12" x14ac:dyDescent="0.25">
      <c r="B14" s="46" t="s">
        <v>171</v>
      </c>
      <c r="C14" s="47">
        <v>46</v>
      </c>
      <c r="D14" s="47">
        <v>27.1</v>
      </c>
      <c r="E14" s="47">
        <v>8.7200000000000006</v>
      </c>
      <c r="F14" s="47" t="s">
        <v>39</v>
      </c>
      <c r="G14" s="47">
        <v>24</v>
      </c>
      <c r="H14" s="47">
        <v>32</v>
      </c>
      <c r="I14" s="47">
        <v>12.7</v>
      </c>
      <c r="J14" s="47" t="s">
        <v>40</v>
      </c>
      <c r="K14" s="47">
        <v>234</v>
      </c>
      <c r="L14" s="47">
        <v>300</v>
      </c>
    </row>
    <row r="15" spans="2:12" x14ac:dyDescent="0.25">
      <c r="B15" s="46" t="s">
        <v>172</v>
      </c>
      <c r="C15" s="47">
        <v>46</v>
      </c>
      <c r="D15" s="47">
        <v>30.7</v>
      </c>
      <c r="E15" s="47">
        <v>10</v>
      </c>
      <c r="F15" s="47" t="s">
        <v>39</v>
      </c>
      <c r="G15" s="47">
        <v>27</v>
      </c>
      <c r="H15" s="47">
        <v>32</v>
      </c>
      <c r="I15" s="47">
        <v>15.8</v>
      </c>
      <c r="J15" s="47" t="s">
        <v>40</v>
      </c>
      <c r="K15" s="47">
        <v>283</v>
      </c>
      <c r="L15" s="47">
        <v>350</v>
      </c>
    </row>
    <row r="16" spans="2:12" x14ac:dyDescent="0.25">
      <c r="B16" s="46" t="s">
        <v>173</v>
      </c>
      <c r="C16" s="47">
        <v>46</v>
      </c>
      <c r="D16" s="47">
        <v>33.299999999999997</v>
      </c>
      <c r="E16" s="47">
        <v>12.1</v>
      </c>
      <c r="F16" s="47" t="s">
        <v>39</v>
      </c>
      <c r="G16" s="47">
        <v>31</v>
      </c>
      <c r="H16" s="47">
        <v>40</v>
      </c>
      <c r="I16" s="47">
        <v>19.3</v>
      </c>
      <c r="J16" s="47" t="s">
        <v>40</v>
      </c>
      <c r="K16" s="47">
        <v>283</v>
      </c>
      <c r="L16" s="47">
        <v>400</v>
      </c>
    </row>
  </sheetData>
  <mergeCells count="11">
    <mergeCell ref="L3:L5"/>
    <mergeCell ref="E3:E5"/>
    <mergeCell ref="K4:K5"/>
    <mergeCell ref="D4:D5"/>
    <mergeCell ref="F3:F5"/>
    <mergeCell ref="J4:J5"/>
    <mergeCell ref="B3:B5"/>
    <mergeCell ref="C3:C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VRV Schedule</vt:lpstr>
      <vt:lpstr>Indoor Data</vt:lpstr>
      <vt:lpstr>Outdoor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Copy of VRV Schedule -Rev as per HAP - revised schedule.xlsx</dc:title>
  <dc:creator>AE0390</dc:creator>
  <cp:lastModifiedBy>Comfort Zone</cp:lastModifiedBy>
  <cp:lastPrinted>2026-06-05T08:08:07Z</cp:lastPrinted>
  <dcterms:created xsi:type="dcterms:W3CDTF">2023-02-06T15:55:04Z</dcterms:created>
  <dcterms:modified xsi:type="dcterms:W3CDTF">2026-06-29T11:47:11Z</dcterms:modified>
</cp:coreProperties>
</file>